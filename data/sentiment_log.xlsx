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80">
      <c r="A380" t="inlineStr">
        <is>
          <t>2026-10-18T12:35:52+00:00</t>
        </is>
      </c>
      <c r="B380" t="inlineStr">
        <is>
          <t>2026-10-18</t>
        </is>
      </c>
      <c r="C380" t="inlineStr">
        <is>
          <t>Middle East Oil Risk</t>
        </is>
      </c>
      <c r="D380" t="n">
        <v>48</v>
      </c>
      <c r="E380" t="n">
        <v>0.657</v>
      </c>
      <c r="F380" t="n">
        <v>-0.388</v>
      </c>
      <c r="G380" t="n">
        <v>32</v>
      </c>
      <c r="H380" t="n">
        <v>0.837</v>
      </c>
      <c r="I380" t="n">
        <v>-0.153</v>
      </c>
      <c r="J380" t="n">
        <v>19.753</v>
      </c>
      <c r="K380" t="inlineStr">
        <is>
          <t>Israel-Hezbollah clashes kill 11 as Mideast conflict escalation gathers pace after U.S.-Iran strikes - CNBC</t>
        </is>
      </c>
      <c r="L3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0" t="inlineStr">
        <is>
          <t>Lebanon fears renewed war as Israel-Hezbollah tensions rise - Arab News</t>
        </is>
      </c>
      <c r="N38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0" t="inlineStr">
        <is>
          <t>Iran war updates: US launches new strikes, kills 4 at Sirik wedding party - Al Jazeera</t>
        </is>
      </c>
      <c r="P380" t="inlineStr">
        <is>
          <t>https://news.google.com/rss/articles/CBMiugFBVV95cUxPWG5RQm1MSmRjSmtON2xrWjZxNXZvVzExRkxaOWJKalg2S2p1OGhBRFdNdDQwWVMxZEd6aW5ITG5BaWNlelRVbVk5TWxibVlMckJ6NVBQOS1WSTlOQnR2T2o4V0p3TmZmWUhGM01XUGlwLWpOSjlVa1FnMVRFY1puWTUyUGVTV05Kb04zYTFwQTdPVVNhcXZQSlQ2LTJ0QUpHR25ZZmFOT25ndTlrcW9kNG8tVjVGVmtzM2fSAb8BQVVfeXFMT3hYWmFVRndoWU9QMVg4dVpXUTktaWUxY0Uyc3hnXzNDUkxOQ0sxSWg5dXpFVU9LS0ZlWi1BNVFrd0ZTNDF0cXlCVlRad1FDelZDZ0F2aUVQQ0JUdkY3Tnd4UkRRcVJUVTdPdjNLcm9qTEhnQXdBbjR1Qm9jMzY4MmxIVkJRa0VRVDMzVGF4ZUpIWWhjc3Q2TnUzYjlGNl9zc3k2N09IYkxpcEpKYUt4X09EejNIUEd3SVhub2tRZkk?oc=5</t>
        </is>
      </c>
      <c r="Q380" t="inlineStr">
        <is>
          <t>vader</t>
        </is>
      </c>
      <c r="R380" t="inlineStr">
        <is>
          <t>Remarks by the Acting Special Coordinator for the Middle East Peace Process at the Security Council [as delivered] - DPPA</t>
        </is>
      </c>
      <c r="S38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0" t="inlineStr">
        <is>
          <t>Acting Special Coordinator for the Middle East Peace Process's remarks at the Security Council on the Report of the Secretary-General on the Implementation of UNSCR 2334 [as delivered] - DPPA</t>
        </is>
      </c>
      <c r="U38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0" t="inlineStr">
        <is>
          <t>Gaza: 340 children killed despite ceasefire agreement - UNICEF - UN News</t>
        </is>
      </c>
      <c r="W380" t="inlineStr">
        <is>
          <t>https://news.google.com/rss/articles/CBMiV0FVX3lxTE94N19hcVhoa1F6QW9pZ3R2eEZBWnpJN1RHTjczS28yZFIyQ183VnI5RlBxZFk2a0tTVkszOWNXOG11dVZDZEhhd3JYUjh3dUI0Mk85eEpTNA?oc=5</t>
        </is>
      </c>
    </row>
    <row r="381">
      <c r="A381" t="inlineStr">
        <is>
          <t>2026-10-18T12:35:52+00:00</t>
        </is>
      </c>
      <c r="B381" t="inlineStr">
        <is>
          <t>2026-10-18</t>
        </is>
      </c>
      <c r="C381" t="inlineStr">
        <is>
          <t>Macroeconomic Interventions</t>
        </is>
      </c>
      <c r="D381" t="n">
        <v>40</v>
      </c>
      <c r="E381" t="n">
        <v>0.369</v>
      </c>
      <c r="F381" t="n">
        <v>0.073</v>
      </c>
      <c r="G381" t="n">
        <v>32</v>
      </c>
      <c r="H381" t="n">
        <v>0.429</v>
      </c>
      <c r="I381" t="n">
        <v>-0.027</v>
      </c>
      <c r="J381" t="n">
        <v>-10.239</v>
      </c>
      <c r="K381" t="inlineStr">
        <is>
          <t>Bitcoin posts surprise rally as currency nears $70,000 for the first time since June - Fortune</t>
        </is>
      </c>
      <c r="L3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1" t="inlineStr">
        <is>
          <t>Hearing on "Interest on Reserves Payments" - Cato Institute</t>
        </is>
      </c>
      <c r="N38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1" t="inlineStr">
        <is>
          <t>China's central bank to inject 2.1 trillion yuan in liquidity - IDNFinancials</t>
        </is>
      </c>
      <c r="P381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1" t="inlineStr">
        <is>
          <t>finbert</t>
        </is>
      </c>
      <c r="R381" t="inlineStr">
        <is>
          <t>Shelved mega deals may help 'stabilize' the market - Bond Buyer</t>
        </is>
      </c>
      <c r="S38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1" t="inlineStr">
        <is>
          <t>How the Fed Usually Handles Rates Near an Election - CME Group</t>
        </is>
      </c>
      <c r="U381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1" t="inlineStr">
        <is>
          <t>Major brokerages expect next Fed rate hike in December - Reuters</t>
        </is>
      </c>
      <c r="W381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2">
      <c r="A382" t="inlineStr">
        <is>
          <t>2026-10-18T12:35:52+00:00</t>
        </is>
      </c>
      <c r="B382" t="inlineStr">
        <is>
          <t>2026-10-18</t>
        </is>
      </c>
      <c r="C382" t="inlineStr">
        <is>
          <t>Trade Wars &amp; Escalations</t>
        </is>
      </c>
      <c r="D382" t="n">
        <v>39</v>
      </c>
      <c r="E382" t="n">
        <v>0.5679999999999999</v>
      </c>
      <c r="F382" t="n">
        <v>-0.184</v>
      </c>
      <c r="G382" t="n">
        <v>30</v>
      </c>
      <c r="H382" t="n">
        <v>0.8080000000000001</v>
      </c>
      <c r="I382" t="n">
        <v>0.16</v>
      </c>
      <c r="J382" t="n">
        <v>5.692</v>
      </c>
      <c r="K382" t="inlineStr">
        <is>
          <t>Trump uses Depression-era law to ban Canadian alcohol in trade war escalation - WRTV</t>
        </is>
      </c>
      <c r="L38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2" t="inlineStr">
        <is>
          <t>Trump’s trade war with Canada grows increasingly costly as Section 338 tariffs harm both economies - Equitable Growth</t>
        </is>
      </c>
      <c r="N38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2" t="inlineStr">
        <is>
          <t>Canada’s housing market retreats as rates hikes and trade war escalation collide - RBC</t>
        </is>
      </c>
      <c r="P38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2" t="inlineStr">
        <is>
          <t>vader</t>
        </is>
      </c>
      <c r="R382" t="inlineStr">
        <is>
          <t>BD Wins Tariff Relief Through Manufacturing Pact - Medical Device and Diagnostic industry</t>
        </is>
      </c>
      <c r="S38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2" t="inlineStr">
        <is>
          <t>Toys Included in New U.S.-China Tariff Relief Agreement - The Toy Book</t>
        </is>
      </c>
      <c r="U38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2" t="inlineStr">
        <is>
          <t>As Rubio Lands in India, the U.S.-India Relationship Is Stronger Than It Looks - Carnegie Endowment for International Peace</t>
        </is>
      </c>
      <c r="W382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3">
      <c r="A383" t="inlineStr">
        <is>
          <t>2026-10-18T18:36:11+00:00</t>
        </is>
      </c>
      <c r="B383" t="inlineStr">
        <is>
          <t>2026-10-18</t>
        </is>
      </c>
      <c r="C383" t="inlineStr">
        <is>
          <t>Middle East Oil Risk</t>
        </is>
      </c>
      <c r="D383" t="n">
        <v>47</v>
      </c>
      <c r="E383" t="n">
        <v>0.587</v>
      </c>
      <c r="F383" t="n">
        <v>-0.391</v>
      </c>
      <c r="G383" t="n">
        <v>32</v>
      </c>
      <c r="H383" t="n">
        <v>0.79</v>
      </c>
      <c r="I383" t="n">
        <v>-0.141</v>
      </c>
      <c r="J383" t="n">
        <v>18.93</v>
      </c>
      <c r="K383" t="inlineStr">
        <is>
          <t>Israel-Hezbollah clashes kill 11 as Mideast conflict escalation gathers pace after U.S.-Iran strikes - CNBC</t>
        </is>
      </c>
      <c r="L3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3" t="inlineStr">
        <is>
          <t>Lebanon fears renewed war as Israel-Hezbollah tensions rise - Arab News</t>
        </is>
      </c>
      <c r="N38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3" t="inlineStr">
        <is>
          <t>US-Iran strikes raise fears of renewed war across the Middle East - Reuters</t>
        </is>
      </c>
      <c r="P383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83" t="inlineStr">
        <is>
          <t>vader</t>
        </is>
      </c>
      <c r="R383" t="inlineStr">
        <is>
          <t>Remarks by the Acting Special Coordinator for the Middle East Peace Process at the Security Council [as delivered] - DPPA</t>
        </is>
      </c>
      <c r="S38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3" t="inlineStr">
        <is>
          <t>Acting Special Coordinator for the Middle East Peace Process's remarks at the Security Council on the Report of the Secretary-General on the Implementation of UNSCR 2334 [as delivered] - DPPA</t>
        </is>
      </c>
      <c r="U38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3" t="inlineStr">
        <is>
          <t>Gaza: 340 children killed despite ceasefire agreement - UNICEF - UN News</t>
        </is>
      </c>
      <c r="W383" t="inlineStr">
        <is>
          <t>https://news.google.com/rss/articles/CBMiV0FVX3lxTE94N19hcVhoa1F6QW9pZ3R2eEZBWnpJN1RHTjczS28yZFIyQ183VnI5RlBxZFk2a0tTVkszOWNXOG11dVZDZEhhd3JYUjh3dUI0Mk85eEpTNA?oc=5</t>
        </is>
      </c>
    </row>
    <row r="384">
      <c r="A384" t="inlineStr">
        <is>
          <t>2026-10-18T18:36:11+00:00</t>
        </is>
      </c>
      <c r="B384" t="inlineStr">
        <is>
          <t>2026-10-18</t>
        </is>
      </c>
      <c r="C384" t="inlineStr">
        <is>
          <t>Macroeconomic Interventions</t>
        </is>
      </c>
      <c r="D384" t="n">
        <v>40</v>
      </c>
      <c r="E384" t="n">
        <v>0.298</v>
      </c>
      <c r="F384" t="n">
        <v>0.013</v>
      </c>
      <c r="G384" t="n">
        <v>32</v>
      </c>
      <c r="H384" t="n">
        <v>0.537</v>
      </c>
      <c r="I384" t="n">
        <v>-0.031</v>
      </c>
      <c r="J384" t="n">
        <v>-10.549</v>
      </c>
      <c r="K384" t="inlineStr">
        <is>
          <t>Bitcoin posts surprise rally as currency nears $70,000 for the first time since June - Fortune</t>
        </is>
      </c>
      <c r="L3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4" t="inlineStr">
        <is>
          <t>Hearing on "Interest on Reserves Payments" - Cato Institute</t>
        </is>
      </c>
      <c r="N38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4" t="inlineStr">
        <is>
          <t>China's central bank to inject 2.1 trillion yuan in liquidity - IDNFinancials</t>
        </is>
      </c>
      <c r="P38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4" t="inlineStr">
        <is>
          <t>finbert</t>
        </is>
      </c>
      <c r="R384" t="inlineStr">
        <is>
          <t>How the Fed Usually Handles Rates Near an Election - CME Group</t>
        </is>
      </c>
      <c r="S384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84" t="inlineStr">
        <is>
          <t>Federal Funds Rate History 1990 to 2026 - Forbes</t>
        </is>
      </c>
      <c r="U38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84" t="inlineStr">
        <is>
          <t>Major brokerages expect next Fed rate hike in December - Reuters</t>
        </is>
      </c>
      <c r="W38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5">
      <c r="A385" t="inlineStr">
        <is>
          <t>2026-10-18T18:36:11+00:00</t>
        </is>
      </c>
      <c r="B385" t="inlineStr">
        <is>
          <t>2026-10-18</t>
        </is>
      </c>
      <c r="C385" t="inlineStr">
        <is>
          <t>Trade Wars &amp; Escalations</t>
        </is>
      </c>
      <c r="D385" t="n">
        <v>39</v>
      </c>
      <c r="E385" t="n">
        <v>0.492</v>
      </c>
      <c r="F385" t="n">
        <v>-0.194</v>
      </c>
      <c r="G385" t="n">
        <v>30</v>
      </c>
      <c r="H385" t="n">
        <v>0.8080000000000001</v>
      </c>
      <c r="I385" t="n">
        <v>0.153</v>
      </c>
      <c r="J385" t="n">
        <v>5.986</v>
      </c>
      <c r="K385" t="inlineStr">
        <is>
          <t>Trump uses Depression-era law to ban Canadian alcohol in trade war escalation - WRTV</t>
        </is>
      </c>
      <c r="L38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5" t="inlineStr">
        <is>
          <t>Trump’s trade war with Canada grows increasingly costly as Section 338 tariffs harm both economies - Equitable Growth</t>
        </is>
      </c>
      <c r="N38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5" t="inlineStr">
        <is>
          <t>Canada’s housing market retreats as rates hikes and trade war escalation collide - RBC</t>
        </is>
      </c>
      <c r="P385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5" t="inlineStr">
        <is>
          <t>vader</t>
        </is>
      </c>
      <c r="R385" t="inlineStr">
        <is>
          <t>BD Wins Tariff Relief Through Manufacturing Pact - Medical Device and Diagnostic industry</t>
        </is>
      </c>
      <c r="S38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5" t="inlineStr">
        <is>
          <t>Toys Included in New U.S.-China Tariff Relief Agreement - The Toy Book</t>
        </is>
      </c>
      <c r="U38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5" t="inlineStr">
        <is>
          <t>As Rubio Lands in India, the U.S.-India Relationship Is Stronger Than It Looks - Carnegie Endowment for International Peace</t>
        </is>
      </c>
      <c r="W385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6">
      <c r="A386" t="inlineStr">
        <is>
          <t>2026-10-18T22:24:09+00:00</t>
        </is>
      </c>
      <c r="B386" t="inlineStr">
        <is>
          <t>2026-10-18</t>
        </is>
      </c>
      <c r="C386" t="inlineStr">
        <is>
          <t>Middle East Oil Risk</t>
        </is>
      </c>
      <c r="D386" t="n">
        <v>47</v>
      </c>
      <c r="E386" t="n">
        <v>0.553</v>
      </c>
      <c r="F386" t="n">
        <v>-0.392</v>
      </c>
      <c r="G386" t="n">
        <v>32</v>
      </c>
      <c r="H386" t="n">
        <v>0.786</v>
      </c>
      <c r="I386" t="n">
        <v>-0.121</v>
      </c>
      <c r="J386" t="n">
        <v>18.651</v>
      </c>
      <c r="K386" t="inlineStr">
        <is>
          <t>Israel-Hezbollah clashes kill 11 as Mideast conflict escalation gathers pace after U.S.-Iran strikes - CNBC</t>
        </is>
      </c>
      <c r="L3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6" t="inlineStr">
        <is>
          <t>Lebanon fears renewed war as Israel-Hezbollah tensions rise - Arab News</t>
        </is>
      </c>
      <c r="N38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6" t="inlineStr">
        <is>
          <t>Israel raises alert amid Iran war fears as Trump weighs strikes, Netanyahu wary before election - Ynetnews</t>
        </is>
      </c>
      <c r="P386" t="inlineStr">
        <is>
          <t>https://news.google.com/rss/articles/CBMiVkFVX3lxTFBSV2RSLTZKYXlsNGEzYmF1YnBmMjQ4U0YwZDl2MHVIdFNnVU91LXpUZ0Y5RmpBcjl4NUhFN3N1am5yUFNDbGk3bFZSSXNpcmIwZG1nOTRn?oc=5</t>
        </is>
      </c>
      <c r="Q386" t="inlineStr">
        <is>
          <t>vader</t>
        </is>
      </c>
      <c r="R386" t="inlineStr">
        <is>
          <t>Remarks by the Acting Special Coordinator for the Middle East Peace Process at the Security Council [as delivered] - DPPA</t>
        </is>
      </c>
      <c r="S38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6" t="inlineStr">
        <is>
          <t>Acting Special Coordinator for the Middle East Peace Process's remarks at the Security Council on the Report of the Secretary-General on the Implementation of UNSCR 2334 [as delivered] - DPPA</t>
        </is>
      </c>
      <c r="U38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6" t="inlineStr">
        <is>
          <t>Gaza: 340 children killed despite ceasefire agreement - UNICEF - UN News</t>
        </is>
      </c>
      <c r="W386" t="inlineStr">
        <is>
          <t>https://news.google.com/rss/articles/CBMiV0FVX3lxTE94N19hcVhoa1F6QW9pZ3R2eEZBWnpJN1RHTjczS28yZFIyQ183VnI5RlBxZFk2a0tTVkszOWNXOG11dVZDZEhhd3JYUjh3dUI0Mk85eEpTNA?oc=5</t>
        </is>
      </c>
    </row>
    <row r="387">
      <c r="A387" t="inlineStr">
        <is>
          <t>2026-10-18T22:24:09+00:00</t>
        </is>
      </c>
      <c r="B387" t="inlineStr">
        <is>
          <t>2026-10-18</t>
        </is>
      </c>
      <c r="C387" t="inlineStr">
        <is>
          <t>Macroeconomic Interventions</t>
        </is>
      </c>
      <c r="D387" t="n">
        <v>40</v>
      </c>
      <c r="E387" t="n">
        <v>0.298</v>
      </c>
      <c r="F387" t="n">
        <v>0.013</v>
      </c>
      <c r="G387" t="n">
        <v>32</v>
      </c>
      <c r="H387" t="n">
        <v>0.476</v>
      </c>
      <c r="I387" t="n">
        <v>0.038</v>
      </c>
      <c r="J387" t="n">
        <v>-9.565</v>
      </c>
      <c r="K387" t="inlineStr">
        <is>
          <t>Bitcoin posts surprise rally as currency nears $70,000 for the first time since June - Fortune</t>
        </is>
      </c>
      <c r="L3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7" t="inlineStr">
        <is>
          <t>Hearing on "Interest on Reserves Payments" - Cato Institute</t>
        </is>
      </c>
      <c r="N38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7" t="inlineStr">
        <is>
          <t>China's central bank to inject 2.1 trillion yuan in liquidity - IDNFinancials</t>
        </is>
      </c>
      <c r="P38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7" t="inlineStr">
        <is>
          <t>finbert</t>
        </is>
      </c>
      <c r="R387" t="inlineStr">
        <is>
          <t>Shelved mega deals may help 'stabilize' the market - Bond Buyer</t>
        </is>
      </c>
      <c r="S38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7" t="inlineStr">
        <is>
          <t>How the Fed Usually Handles Rates Near an Election - CME Group</t>
        </is>
      </c>
      <c r="U38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7" t="inlineStr">
        <is>
          <t>Federal Funds Rate History 1990 to 2026 - Forbes</t>
        </is>
      </c>
      <c r="W38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88">
      <c r="A388" t="inlineStr">
        <is>
          <t>2026-10-18T22:24:09+00:00</t>
        </is>
      </c>
      <c r="B388" t="inlineStr">
        <is>
          <t>2026-10-18</t>
        </is>
      </c>
      <c r="C388" t="inlineStr">
        <is>
          <t>Trade Wars &amp; Escalations</t>
        </is>
      </c>
      <c r="D388" t="n">
        <v>39</v>
      </c>
      <c r="E388" t="n">
        <v>0.555</v>
      </c>
      <c r="F388" t="n">
        <v>-0.22</v>
      </c>
      <c r="G388" t="n">
        <v>29</v>
      </c>
      <c r="H388" t="n">
        <v>0.835</v>
      </c>
      <c r="I388" t="n">
        <v>0.159</v>
      </c>
      <c r="J388" t="n">
        <v>6.99</v>
      </c>
      <c r="K388" t="inlineStr">
        <is>
          <t>Trump uses Depression-era law to ban Canadian alcohol in trade war escalation - WRTV</t>
        </is>
      </c>
      <c r="L38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8" t="inlineStr">
        <is>
          <t>Trump’s trade war with Canada grows increasingly costly as Section 338 tariffs harm both economies - Equitable Growth</t>
        </is>
      </c>
      <c r="N38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8" t="inlineStr">
        <is>
          <t>Canada’s housing market retreats as rates hikes and trade war escalation collide - RBC</t>
        </is>
      </c>
      <c r="P38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8" t="inlineStr">
        <is>
          <t>vader</t>
        </is>
      </c>
      <c r="R388" t="inlineStr">
        <is>
          <t>BD Wins Tariff Relief Through Manufacturing Pact - Medical Device and Diagnostic industry</t>
        </is>
      </c>
      <c r="S38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8" t="inlineStr">
        <is>
          <t>Toys Included in New U.S.-China Tariff Relief Agreement - The Toy Book</t>
        </is>
      </c>
      <c r="U38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8" t="inlineStr">
        <is>
          <t>As Rubio Lands in India, the U.S.-India Relationship Is Stronger Than It Looks - Carnegie Endowment for International Peace</t>
        </is>
      </c>
      <c r="W388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9">
      <c r="A389" t="inlineStr">
        <is>
          <t>2026-10-19T04:28:21+00:00</t>
        </is>
      </c>
      <c r="B389" t="inlineStr">
        <is>
          <t>2026-10-19</t>
        </is>
      </c>
      <c r="C389" t="inlineStr">
        <is>
          <t>Middle East Oil Risk</t>
        </is>
      </c>
      <c r="D389" t="n">
        <v>47</v>
      </c>
      <c r="E389" t="n">
        <v>0.52</v>
      </c>
      <c r="F389" t="n">
        <v>-0.361</v>
      </c>
      <c r="G389" t="n">
        <v>32</v>
      </c>
      <c r="H389" t="n">
        <v>0.841</v>
      </c>
      <c r="I389" t="n">
        <v>-0.089</v>
      </c>
      <c r="J389" t="n">
        <v>17.404</v>
      </c>
      <c r="K389" t="inlineStr">
        <is>
          <t>Israel-Hezbollah clashes kill 11 as Mideast conflict escalation gathers pace after U.S.-Iran strikes - CNBC</t>
        </is>
      </c>
      <c r="L3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9" t="inlineStr">
        <is>
          <t>Lebanon fears renewed war as Israel-Hezbollah tensions rise - Arab News</t>
        </is>
      </c>
      <c r="N38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9" t="inlineStr">
        <is>
          <t>Israel raises alert amid Iran war fears as Trump weighs strikes, Netanyahu wary before election - Ynetnews</t>
        </is>
      </c>
      <c r="P389" t="inlineStr">
        <is>
          <t>https://news.google.com/rss/articles/CBMiVkFVX3lxTFBSV2RSLTZKYXlsNGEzYmF1YnBmMjQ4U0YwZDl2MHVIdFNnVU91LXpUZ0Y5RmpBcjl4NUhFN3N1am5yUFNDbGk3bFZSSXNpcmIwZG1nOTRn?oc=5</t>
        </is>
      </c>
      <c r="Q389" t="inlineStr">
        <is>
          <t>vader</t>
        </is>
      </c>
      <c r="R389" t="inlineStr">
        <is>
          <t>Remarks by the Acting Special Coordinator for the Middle East Peace Process at the Security Council [as delivered] - DPPA</t>
        </is>
      </c>
      <c r="S38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9" t="inlineStr">
        <is>
          <t>Acting Special Coordinator for the Middle East Peace Process's remarks at the Security Council on the Report of the Secretary-General on the Implementation of UNSCR 2334 [as delivered] - DPPA</t>
        </is>
      </c>
      <c r="U38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9" t="inlineStr">
        <is>
          <t>Gaza: 340 children killed despite ceasefire agreement - UNICEF - UN News</t>
        </is>
      </c>
      <c r="W389" t="inlineStr">
        <is>
          <t>https://news.google.com/rss/articles/CBMiV0FVX3lxTE94N19hcVhoa1F6QW9pZ3R2eEZBWnpJN1RHTjczS28yZFIyQ183VnI5RlBxZFk2a0tTVkszOWNXOG11dVZDZEhhd3JYUjh3dUI0Mk85eEpTNA?oc=5</t>
        </is>
      </c>
    </row>
    <row r="390">
      <c r="A390" t="inlineStr">
        <is>
          <t>2026-10-19T04:28:21+00:00</t>
        </is>
      </c>
      <c r="B390" t="inlineStr">
        <is>
          <t>2026-10-19</t>
        </is>
      </c>
      <c r="C390" t="inlineStr">
        <is>
          <t>Macroeconomic Interventions</t>
        </is>
      </c>
      <c r="D390" t="n">
        <v>40</v>
      </c>
      <c r="E390" t="n">
        <v>0.513</v>
      </c>
      <c r="F390" t="n">
        <v>0.013</v>
      </c>
      <c r="G390" t="n">
        <v>32</v>
      </c>
      <c r="H390" t="n">
        <v>0.522</v>
      </c>
      <c r="I390" t="n">
        <v>0.036</v>
      </c>
      <c r="J390" t="n">
        <v>-14.62</v>
      </c>
      <c r="K390" t="inlineStr">
        <is>
          <t>Bitcoin posts surprise rally as currency nears $70,000 for the first time since June - Fortune</t>
        </is>
      </c>
      <c r="L3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0" t="inlineStr">
        <is>
          <t>Japanese Yen holds range near 158.00 vs USD before Fed, BoJ decisions - FXStreet</t>
        </is>
      </c>
      <c r="N390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0" t="inlineStr">
        <is>
          <t>UAE injects $8bn into banking system as liquidity falls - TheBanker.com</t>
        </is>
      </c>
      <c r="P3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0" t="inlineStr">
        <is>
          <t>finbert</t>
        </is>
      </c>
      <c r="R390" t="inlineStr">
        <is>
          <t>Shelved mega deals may help 'stabilize' the market - Bond Buyer</t>
        </is>
      </c>
      <c r="S39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0" t="inlineStr">
        <is>
          <t>How the Fed Usually Handles Rates Near an Election - CME Group</t>
        </is>
      </c>
      <c r="U39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90" t="inlineStr">
        <is>
          <t>Major brokerages expect next Fed rate hike in December - Reuters</t>
        </is>
      </c>
      <c r="W39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1">
      <c r="A391" t="inlineStr">
        <is>
          <t>2026-10-19T04:28:21+00:00</t>
        </is>
      </c>
      <c r="B391" t="inlineStr">
        <is>
          <t>2026-10-19</t>
        </is>
      </c>
      <c r="C391" t="inlineStr">
        <is>
          <t>Trade Wars &amp; Escalations</t>
        </is>
      </c>
      <c r="D391" t="n">
        <v>39</v>
      </c>
      <c r="E391" t="n">
        <v>0.548</v>
      </c>
      <c r="F391" t="n">
        <v>-0.199</v>
      </c>
      <c r="G391" t="n">
        <v>29</v>
      </c>
      <c r="H391" t="n">
        <v>0.835</v>
      </c>
      <c r="I391" t="n">
        <v>0.142</v>
      </c>
      <c r="J391" t="n">
        <v>6.831</v>
      </c>
      <c r="K391" t="inlineStr">
        <is>
          <t>Trump uses Depression-era law to ban Canadian alcohol in trade war escalation - WRTV</t>
        </is>
      </c>
      <c r="L39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1" t="inlineStr">
        <is>
          <t>Trump’s trade war with Canada grows increasingly costly as Section 338 tariffs harm both economies - Equitable Growth</t>
        </is>
      </c>
      <c r="N39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1" t="inlineStr">
        <is>
          <t>Canada’s housing market retreats as rates hikes and trade war escalation collide - RBC</t>
        </is>
      </c>
      <c r="P391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1" t="inlineStr">
        <is>
          <t>vader</t>
        </is>
      </c>
      <c r="R391" t="inlineStr">
        <is>
          <t>BD Wins Tariff Relief Through Manufacturing Pact - Medical Device and Diagnostic industry</t>
        </is>
      </c>
      <c r="S39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1" t="inlineStr">
        <is>
          <t>Toys Included in New U.S.-China Tariff Relief Agreement - The Toy Book</t>
        </is>
      </c>
      <c r="U39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1" t="inlineStr">
        <is>
          <t>As Rubio Lands in India, the U.S.-India Relationship Is Stronger Than It Looks - Carnegie Endowment for International Peace</t>
        </is>
      </c>
      <c r="W391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92">
      <c r="A392" t="inlineStr">
        <is>
          <t>2026-10-19T15:32:12+00:00</t>
        </is>
      </c>
      <c r="B392" t="inlineStr">
        <is>
          <t>2026-10-19</t>
        </is>
      </c>
      <c r="C392" t="inlineStr">
        <is>
          <t>Middle East Oil Risk</t>
        </is>
      </c>
      <c r="D392" t="n">
        <v>47</v>
      </c>
      <c r="E392" t="n">
        <v>0.465</v>
      </c>
      <c r="F392" t="n">
        <v>-0.41</v>
      </c>
      <c r="G392" t="n">
        <v>32</v>
      </c>
      <c r="H392" t="n">
        <v>0.819</v>
      </c>
      <c r="I392" t="n">
        <v>-0.042</v>
      </c>
      <c r="J392" t="n">
        <v>17.805</v>
      </c>
      <c r="K392" t="inlineStr">
        <is>
          <t>USA/Israel/Iran: Investigation into US-Israeli strikes on Tehran neighbourhoods reveals devastating civilian harm - Amnesty International</t>
        </is>
      </c>
      <c r="L39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92" t="inlineStr">
        <is>
          <t>Israel-Hezbollah clashes kill 11 as Mideast conflict escalation gathers pace after U.S.-Iran strikes - CNBC</t>
        </is>
      </c>
      <c r="N3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2" t="inlineStr">
        <is>
          <t>Lebanon fears renewed war as Israel-Hezbollah tensions rise - Arab News</t>
        </is>
      </c>
      <c r="P39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2" t="inlineStr">
        <is>
          <t>vader</t>
        </is>
      </c>
      <c r="R392" t="inlineStr">
        <is>
          <t>Acting Special Coordinator for the Middle East Peace Process's remarks at the Security Council on the Report of the Secretary-General on the Implementation of UNSCR 2334 [as delivered] - DPPA</t>
        </is>
      </c>
      <c r="S39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2" t="inlineStr">
        <is>
          <t>Gaza: 340 children killed despite ceasefire agreement - UNICEF - UN News</t>
        </is>
      </c>
      <c r="U392" t="inlineStr">
        <is>
          <t>https://news.google.com/rss/articles/CBMiV0FVX3lxTE94N19hcVhoa1F6QW9pZ3R2eEZBWnpJN1RHTjczS28yZFIyQ183VnI5RlBxZFk2a0tTVkszOWNXOG11dVZDZEhhd3JYUjh3dUI0Mk85eEpTNA?oc=5</t>
        </is>
      </c>
      <c r="V392" t="inlineStr">
        <is>
          <t>Europe’s Chance to Revive Middle East Peace - Foreign Policy</t>
        </is>
      </c>
      <c r="W39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3">
      <c r="A393" t="inlineStr">
        <is>
          <t>2026-10-19T15:32:12+00:00</t>
        </is>
      </c>
      <c r="B393" t="inlineStr">
        <is>
          <t>2026-10-19</t>
        </is>
      </c>
      <c r="C393" t="inlineStr">
        <is>
          <t>Macroeconomic Interventions</t>
        </is>
      </c>
      <c r="D393" t="n">
        <v>40</v>
      </c>
      <c r="E393" t="n">
        <v>0.489</v>
      </c>
      <c r="F393" t="n">
        <v>0.035</v>
      </c>
      <c r="G393" t="n">
        <v>32</v>
      </c>
      <c r="H393" t="n">
        <v>0.439</v>
      </c>
      <c r="I393" t="n">
        <v>0.032</v>
      </c>
      <c r="J393" t="n">
        <v>-12.811</v>
      </c>
      <c r="K393" t="inlineStr">
        <is>
          <t>Bitcoin posts surprise rally as currency nears $70,000 for the first time since June - Fortune</t>
        </is>
      </c>
      <c r="L3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3" t="inlineStr">
        <is>
          <t>Japanese Yen holds range near 158.00 vs USD before Fed, BoJ decisions - FXStreet</t>
        </is>
      </c>
      <c r="N393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3" t="inlineStr">
        <is>
          <t>UAE injects $8bn into banking system as liquidity falls - TheBanker.com</t>
        </is>
      </c>
      <c r="P3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3" t="inlineStr">
        <is>
          <t>finbert</t>
        </is>
      </c>
      <c r="R393" t="inlineStr">
        <is>
          <t>Shelved mega deals may help 'stabilize' the market - Bond Buyer</t>
        </is>
      </c>
      <c r="S39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3" t="inlineStr">
        <is>
          <t>Federal Funds Rate History 1990 to 2026 - Forbes</t>
        </is>
      </c>
      <c r="U39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3" t="inlineStr">
        <is>
          <t>Major brokerages expect next Fed rate hike in December - Reuters</t>
        </is>
      </c>
      <c r="W393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4">
      <c r="A394" t="inlineStr">
        <is>
          <t>2026-10-19T15:32:12+00:00</t>
        </is>
      </c>
      <c r="B394" t="inlineStr">
        <is>
          <t>2026-10-19</t>
        </is>
      </c>
      <c r="C394" t="inlineStr">
        <is>
          <t>Trade Wars &amp; Escalations</t>
        </is>
      </c>
      <c r="D394" t="n">
        <v>39</v>
      </c>
      <c r="E394" t="n">
        <v>0.59</v>
      </c>
      <c r="F394" t="n">
        <v>-0.23</v>
      </c>
      <c r="G394" t="n">
        <v>28</v>
      </c>
      <c r="H394" t="n">
        <v>0.901</v>
      </c>
      <c r="I394" t="n">
        <v>0.144</v>
      </c>
      <c r="J394" t="n">
        <v>7.965</v>
      </c>
      <c r="K394" t="inlineStr">
        <is>
          <t>Trump uses Depression-era law to ban Canadian alcohol in trade war escalation - WRTV</t>
        </is>
      </c>
      <c r="L39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4" t="inlineStr">
        <is>
          <t>Trump’s trade war with Canada grows increasingly costly as Section 338 tariffs harm both economies - Equitable Growth</t>
        </is>
      </c>
      <c r="N39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4" t="inlineStr">
        <is>
          <t>Canada’s housing market retreats as rates hikes and trade war escalation collide - RBC</t>
        </is>
      </c>
      <c r="P394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4" t="inlineStr">
        <is>
          <t>vader</t>
        </is>
      </c>
      <c r="R394" t="inlineStr">
        <is>
          <t>BD Wins Tariff Relief Through Manufacturing Pact - Medical Device and Diagnostic industry</t>
        </is>
      </c>
      <c r="S39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4" t="inlineStr">
        <is>
          <t>Toys Included in New U.S.-China Tariff Relief Agreement - The Toy Book</t>
        </is>
      </c>
      <c r="U39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4" t="inlineStr">
        <is>
          <t>U.S. and China Strike Agreement for $60 Billion in Tariff Relief - Modaes</t>
        </is>
      </c>
      <c r="W39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5">
      <c r="A395" t="inlineStr">
        <is>
          <t>2026-10-19T21:00:55+00:00</t>
        </is>
      </c>
      <c r="B395" t="inlineStr">
        <is>
          <t>2026-10-19</t>
        </is>
      </c>
      <c r="C395" t="inlineStr">
        <is>
          <t>Middle East Oil Risk</t>
        </is>
      </c>
      <c r="D395" t="n">
        <v>48</v>
      </c>
      <c r="E395" t="n">
        <v>0.488</v>
      </c>
      <c r="F395" t="n">
        <v>-0.405</v>
      </c>
      <c r="G395" t="n">
        <v>32</v>
      </c>
      <c r="H395" t="n">
        <v>0.823</v>
      </c>
      <c r="I395" t="n">
        <v>-0.112</v>
      </c>
      <c r="J395" t="n">
        <v>19.518</v>
      </c>
      <c r="K395" t="inlineStr">
        <is>
          <t>Houthi attack kills 53 in biggest single loss of life since Yemen civil war reignited - The Guardian</t>
        </is>
      </c>
      <c r="L39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5" t="inlineStr">
        <is>
          <t>Iran war live: 53 recruits killed, 200 wounded in Houthi strikes in Yemen - Al Jazeera</t>
        </is>
      </c>
      <c r="N395" t="inlineStr">
        <is>
          <t>https://news.google.com/rss/articles/CBMiwAFBVV95cUxQUjFlTlRqQkJBNFNTYTgtOVZMTXpUOEE4U3dtT2xuRXBydTZkd1FPcl9vMUNidUR5SUU2X251NUtSZnZseXlOdnJrMnRNLVpFamNRQnF4WFVYcG9UbEoxV054QkQ3UkVFUEZyeENidkQ0U1dlUVRtMWlFSlFCbTVhTkdjMkJ6VkVwRW13MERpS2JHSGc2MDktX1NKYTk3YVdUa1JTVXFsNHlDeHdMSHJMLWU3bVg1V044RUt2anVJd07SAcYBQVVfeXFMTWZYeGhfVWxhNVpuTUMxOXZXVkw1Y3hWWWt0ak1PLUo0N3QxdnFQek1leHQ5TW1mMWhIMlZST1UzeTQwZElscjRIX09BZlBMaS13ZUdtU2JPRWVCdTBWZzF2V3dSUlhFYnhlUmV3dEFvQ3c2empwS0tKTTRIWXNyb2FwMnBEOTNxX1ktWktGdXVYR1MwbzFBMG5UWmJWRVVVR0szUDU3RFBUZS1lZTJIaHAtci1jZnBiTUFPSmdwVWwyWGwtYm93?oc=5</t>
        </is>
      </c>
      <c r="O395" t="inlineStr">
        <is>
          <t>USA/Israel/Iran: Investigation into US-Israeli strikes on Tehran neighbourhoods reveals devastating civilian harm - Amnesty International</t>
        </is>
      </c>
      <c r="P39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Q395" t="inlineStr">
        <is>
          <t>vader</t>
        </is>
      </c>
      <c r="R395" t="inlineStr">
        <is>
          <t>Acting Special Coordinator for the Middle East Peace Process's remarks at the Security Council on the Report of the Secretary-General on the Implementation of UNSCR 2334 [as delivered] - DPPA</t>
        </is>
      </c>
      <c r="S39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5" t="inlineStr">
        <is>
          <t>Gaza: 340 children killed despite ceasefire agreement - UNICEF - UN News</t>
        </is>
      </c>
      <c r="U395" t="inlineStr">
        <is>
          <t>https://news.google.com/rss/articles/CBMiV0FVX3lxTE94N19hcVhoa1F6QW9pZ3R2eEZBWnpJN1RHTjczS28yZFIyQ183VnI5RlBxZFk2a0tTVkszOWNXOG11dVZDZEhhd3JYUjh3dUI0Mk85eEpTNA?oc=5</t>
        </is>
      </c>
      <c r="V395" t="inlineStr">
        <is>
          <t>Europe’s Chance to Revive Middle East Peace - Foreign Policy</t>
        </is>
      </c>
      <c r="W39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6">
      <c r="A396" t="inlineStr">
        <is>
          <t>2026-10-19T21:00:55+00:00</t>
        </is>
      </c>
      <c r="B396" t="inlineStr">
        <is>
          <t>2026-10-19</t>
        </is>
      </c>
      <c r="C396" t="inlineStr">
        <is>
          <t>Macroeconomic Interventions</t>
        </is>
      </c>
      <c r="D396" t="n">
        <v>40</v>
      </c>
      <c r="E396" t="n">
        <v>0.467</v>
      </c>
      <c r="F396" t="n">
        <v>0.041</v>
      </c>
      <c r="G396" t="n">
        <v>32</v>
      </c>
      <c r="H396" t="n">
        <v>0.512</v>
      </c>
      <c r="I396" t="n">
        <v>-0.002</v>
      </c>
      <c r="J396" t="n">
        <v>-13.525</v>
      </c>
      <c r="K396" t="inlineStr">
        <is>
          <t>Bitcoin posts surprise rally as currency nears $70,000 for the first time since June - Fortune</t>
        </is>
      </c>
      <c r="L3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6" t="inlineStr">
        <is>
          <t>Japanese Yen holds range near 158.00 vs USD before Fed, BoJ decisions - FXStreet</t>
        </is>
      </c>
      <c r="N396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6" t="inlineStr">
        <is>
          <t>How the RBI manages cash in the banking system - Substack</t>
        </is>
      </c>
      <c r="P396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96" t="inlineStr">
        <is>
          <t>finbert</t>
        </is>
      </c>
      <c r="R396" t="inlineStr">
        <is>
          <t>Shelved mega deals may help 'stabilize' the market - Bond Buyer</t>
        </is>
      </c>
      <c r="S39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6" t="inlineStr">
        <is>
          <t>Federal Funds Rate History 1990 to 2026 - Forbes</t>
        </is>
      </c>
      <c r="U39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6" t="inlineStr">
        <is>
          <t>Major brokerages expect next Fed rate hike in December - Reuters</t>
        </is>
      </c>
      <c r="W39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7">
      <c r="A397" t="inlineStr">
        <is>
          <t>2026-10-19T21:00:55+00:00</t>
        </is>
      </c>
      <c r="B397" t="inlineStr">
        <is>
          <t>2026-10-19</t>
        </is>
      </c>
      <c r="C397" t="inlineStr">
        <is>
          <t>Trade Wars &amp; Escalations</t>
        </is>
      </c>
      <c r="D397" t="n">
        <v>39</v>
      </c>
      <c r="E397" t="n">
        <v>0.578</v>
      </c>
      <c r="F397" t="n">
        <v>-0.222</v>
      </c>
      <c r="G397" t="n">
        <v>29</v>
      </c>
      <c r="H397" t="n">
        <v>0.904</v>
      </c>
      <c r="I397" t="n">
        <v>0.157</v>
      </c>
      <c r="J397" t="n">
        <v>7.055</v>
      </c>
      <c r="K397" t="inlineStr">
        <is>
          <t>Trump uses Depression-era law to ban Canadian alcohol in trade war escalation - WRTV</t>
        </is>
      </c>
      <c r="L39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7" t="inlineStr">
        <is>
          <t>Trump’s trade war with Canada grows increasingly costly as Section 338 tariffs harm both economies - Equitable Growth</t>
        </is>
      </c>
      <c r="N39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7" t="inlineStr">
        <is>
          <t>Canada’s housing market retreats as rates hikes and trade war escalation collide - RBC</t>
        </is>
      </c>
      <c r="P397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7" t="inlineStr">
        <is>
          <t>vader</t>
        </is>
      </c>
      <c r="R397" t="inlineStr">
        <is>
          <t>BD Wins Tariff Relief Through Manufacturing Pact - Medical Device and Diagnostic industry</t>
        </is>
      </c>
      <c r="S39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7" t="inlineStr">
        <is>
          <t>Toys Included in New U.S.-China Tariff Relief Agreement - The Toy Book</t>
        </is>
      </c>
      <c r="U39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7" t="inlineStr">
        <is>
          <t>U.S. and China Strike Agreement for $60 Billion in Tariff Relief - Modaes</t>
        </is>
      </c>
      <c r="W39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8">
      <c r="A398" t="inlineStr">
        <is>
          <t>2026-10-20T04:38:24+00:00</t>
        </is>
      </c>
      <c r="B398" t="inlineStr">
        <is>
          <t>2026-10-20</t>
        </is>
      </c>
      <c r="C398" t="inlineStr">
        <is>
          <t>Middle East Oil Risk</t>
        </is>
      </c>
      <c r="D398" t="n">
        <v>47</v>
      </c>
      <c r="E398" t="n">
        <v>0.462</v>
      </c>
      <c r="F398" t="n">
        <v>-0.447</v>
      </c>
      <c r="G398" t="n">
        <v>32</v>
      </c>
      <c r="H398" t="n">
        <v>0.823</v>
      </c>
      <c r="I398" t="n">
        <v>-0.117</v>
      </c>
      <c r="J398" t="n">
        <v>19.872</v>
      </c>
      <c r="K398" t="inlineStr">
        <is>
          <t>Houthi attack kills 53 in biggest single loss of life since Yemen civil war reignited - The Guardian</t>
        </is>
      </c>
      <c r="L39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8" t="inlineStr">
        <is>
          <t>Israel-Hezbollah clashes kill 11 as Mideast conflict escalation gathers pace after U.S.-Iran strikes - CNBC</t>
        </is>
      </c>
      <c r="N3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8" t="inlineStr">
        <is>
          <t>Lebanon fears renewed war as Israel-Hezbollah tensions rise - Arab News</t>
        </is>
      </c>
      <c r="P39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8" t="inlineStr">
        <is>
          <t>vader</t>
        </is>
      </c>
      <c r="R398" t="inlineStr">
        <is>
          <t>Acting Special Coordinator for the Middle East Peace Process's remarks at the Security Council on the Report of the Secretary-General on the Implementation of UNSCR 2334 [as delivered] - DPPA</t>
        </is>
      </c>
      <c r="S39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8" t="inlineStr">
        <is>
          <t>Gaza: 340 children killed despite ceasefire agreement - UNICEF - UN News</t>
        </is>
      </c>
      <c r="U398" t="inlineStr">
        <is>
          <t>https://news.google.com/rss/articles/CBMiV0FVX3lxTE94N19hcVhoa1F6QW9pZ3R2eEZBWnpJN1RHTjczS28yZFIyQ183VnI5RlBxZFk2a0tTVkszOWNXOG11dVZDZEhhd3JYUjh3dUI0Mk85eEpTNA?oc=5</t>
        </is>
      </c>
      <c r="V398" t="inlineStr">
        <is>
          <t>Europe’s Chance to Revive Middle East Peace - Foreign Policy</t>
        </is>
      </c>
      <c r="W39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9">
      <c r="A399" t="inlineStr">
        <is>
          <t>2026-10-20T04:38:24+00:00</t>
        </is>
      </c>
      <c r="B399" t="inlineStr">
        <is>
          <t>2026-10-20</t>
        </is>
      </c>
      <c r="C399" t="inlineStr">
        <is>
          <t>Macroeconomic Interventions</t>
        </is>
      </c>
      <c r="D399" t="n">
        <v>40</v>
      </c>
      <c r="E399" t="n">
        <v>0.495</v>
      </c>
      <c r="F399" t="n">
        <v>-0.001</v>
      </c>
      <c r="G399" t="n">
        <v>32</v>
      </c>
      <c r="H399" t="n">
        <v>0.377</v>
      </c>
      <c r="I399" t="n">
        <v>0.027</v>
      </c>
      <c r="J399" t="n">
        <v>-11.949</v>
      </c>
      <c r="K399" t="inlineStr">
        <is>
          <t>Bitcoin posts surprise rally as currency nears $70,000 for the first time since June - Fortune</t>
        </is>
      </c>
      <c r="L3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9" t="inlineStr">
        <is>
          <t>Fed's Warsh sees US resilience, mum on rate-path view - Reuters</t>
        </is>
      </c>
      <c r="N399" t="inlineStr">
        <is>
          <t>https://news.google.com/rss/articles/CBMingFBVV95cUxPbUpNSUtZSU1FYnJCSDNWNnJRMmF3bmQ1QkdEaVhZb3I3c0lpYWhyQjNSemVVdGttRHE3UTFNOXg0enZ6eHAzcDY3UXBmQUJJRzl1T3gtMEZad0Z0Xy12TTlFcVRGeVdNYmVkZ3NPQThlUWRLUTh5c2J0UHFPVVRKT0hpR2RyU2tlRnJhVnBZZkxxUFhaTzRBVUlkbWFUUQ?oc=5</t>
        </is>
      </c>
      <c r="O399" t="inlineStr">
        <is>
          <t>Japanese Yen holds range near 158.00 vs USD before Fed, BoJ decisions - FXStreet</t>
        </is>
      </c>
      <c r="P399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Q399" t="inlineStr">
        <is>
          <t>finbert</t>
        </is>
      </c>
      <c r="R399" t="inlineStr">
        <is>
          <t>Shelved mega deals may help 'stabilize' the market - Bond Buyer</t>
        </is>
      </c>
      <c r="S39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9" t="inlineStr">
        <is>
          <t>Federal Funds Rate History 1990 to 2026 - Forbes</t>
        </is>
      </c>
      <c r="U39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9" t="inlineStr">
        <is>
          <t>Major brokerages expect next Fed rate hike in December - Reuters</t>
        </is>
      </c>
      <c r="W39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0">
      <c r="A400" t="inlineStr">
        <is>
          <t>2026-10-20T04:38:24+00:00</t>
        </is>
      </c>
      <c r="B400" t="inlineStr">
        <is>
          <t>2026-10-20</t>
        </is>
      </c>
      <c r="C400" t="inlineStr">
        <is>
          <t>Trade Wars &amp; Escalations</t>
        </is>
      </c>
      <c r="D400" t="n">
        <v>40</v>
      </c>
      <c r="E400" t="n">
        <v>0.64</v>
      </c>
      <c r="F400" t="n">
        <v>-0.223</v>
      </c>
      <c r="G400" t="n">
        <v>29</v>
      </c>
      <c r="H400" t="n">
        <v>0.904</v>
      </c>
      <c r="I400" t="n">
        <v>0.152</v>
      </c>
      <c r="J400" t="n">
        <v>7.758</v>
      </c>
      <c r="K400" t="inlineStr">
        <is>
          <t>US-Canada trade war heats up as Trump threatens to hike auto tariffs - BBC</t>
        </is>
      </c>
      <c r="L400" t="inlineStr">
        <is>
          <t>https://news.google.com/rss/articles/CBMiWkFVX3lxTE81UWcxQm1LSlMzSzdReXhpQ3VxUktlWlh1QTVLLThJVEduc1lWYVk1LWktNFhONkFTOEM0WG1CeGg5ZDczRlB2cmU1dGgyVzR4bFdIMTZTWnZPQQ?oc=5</t>
        </is>
      </c>
      <c r="M400" t="inlineStr">
        <is>
          <t>Trade War Escalation Deepens Uncertainty for Canadian Economy - Morningstar</t>
        </is>
      </c>
      <c r="N400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00" t="inlineStr">
        <is>
          <t>Canada’s housing market retreats as rates hikes and trade war escalation collide - RBC</t>
        </is>
      </c>
      <c r="P400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400" t="inlineStr">
        <is>
          <t>vader</t>
        </is>
      </c>
      <c r="R400" t="inlineStr">
        <is>
          <t>BD Wins Tariff Relief Through Manufacturing Pact - Medical Device and Diagnostic industry</t>
        </is>
      </c>
      <c r="S40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0" t="inlineStr">
        <is>
          <t>Toys Included in New U.S.-China Tariff Relief Agreement - The Toy Book</t>
        </is>
      </c>
      <c r="U40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0" t="inlineStr">
        <is>
          <t>U.S. and China Strike Agreement for $60 Billion in Tariff Relief - Modaes</t>
        </is>
      </c>
      <c r="W40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1">
      <c r="A401" t="inlineStr">
        <is>
          <t>2026-10-20T13:32:15+00:00</t>
        </is>
      </c>
      <c r="B401" t="inlineStr">
        <is>
          <t>2026-10-20</t>
        </is>
      </c>
      <c r="C401" t="inlineStr">
        <is>
          <t>Middle East Oil Risk</t>
        </is>
      </c>
      <c r="D401" t="n">
        <v>47</v>
      </c>
      <c r="E401" t="n">
        <v>0.444</v>
      </c>
      <c r="F401" t="n">
        <v>-0.519</v>
      </c>
      <c r="G401" t="n">
        <v>32</v>
      </c>
      <c r="H401" t="n">
        <v>0.852</v>
      </c>
      <c r="I401" t="n">
        <v>-0.16</v>
      </c>
      <c r="J401" t="n">
        <v>22.258</v>
      </c>
      <c r="K401" t="inlineStr">
        <is>
          <t>Houthi attack kills 53 in biggest single loss of life since Yemen civil war reignited - The Guardian</t>
        </is>
      </c>
      <c r="L40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1" t="inlineStr">
        <is>
          <t>USA/Israel/Iran: Investigation into US-Israeli strikes on Tehran neighbourhoods reveals devastating civilian harm - Amnesty International</t>
        </is>
      </c>
      <c r="N40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1" t="inlineStr">
        <is>
          <t>Israel-Hezbollah clashes kill 11 as Mideast conflict escalation gathers pace after U.S.-Iran strikes - CNBC</t>
        </is>
      </c>
      <c r="P4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1" t="inlineStr">
        <is>
          <t>vader</t>
        </is>
      </c>
      <c r="R401" t="inlineStr">
        <is>
          <t>Acting Special Coordinator for the Middle East Peace Process's remarks at the Security Council on the Report of the Secretary-General on the Implementation of UNSCR 2334 [as delivered] - DPPA</t>
        </is>
      </c>
      <c r="S40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1" t="inlineStr">
        <is>
          <t>Gaza: 340 children killed despite ceasefire agreement - UNICEF - UN News</t>
        </is>
      </c>
      <c r="U401" t="inlineStr">
        <is>
          <t>https://news.google.com/rss/articles/CBMiV0FVX3lxTE94N19hcVhoa1F6QW9pZ3R2eEZBWnpJN1RHTjczS28yZFIyQ183VnI5RlBxZFk2a0tTVkszOWNXOG11dVZDZEhhd3JYUjh3dUI0Mk85eEpTNA?oc=5</t>
        </is>
      </c>
      <c r="V401" t="inlineStr">
        <is>
          <t>Gaza: 340 children killed despite ceasefire agreement – UNICEF - The European Sting</t>
        </is>
      </c>
      <c r="W40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2">
      <c r="A402" t="inlineStr">
        <is>
          <t>2026-10-20T13:32:15+00:00</t>
        </is>
      </c>
      <c r="B402" t="inlineStr">
        <is>
          <t>2026-10-20</t>
        </is>
      </c>
      <c r="C402" t="inlineStr">
        <is>
          <t>Macroeconomic Interventions</t>
        </is>
      </c>
      <c r="D402" t="n">
        <v>40</v>
      </c>
      <c r="E402" t="n">
        <v>0.5639999999999999</v>
      </c>
      <c r="F402" t="n">
        <v>0.043</v>
      </c>
      <c r="G402" t="n">
        <v>32</v>
      </c>
      <c r="H402" t="n">
        <v>0.335</v>
      </c>
      <c r="I402" t="n">
        <v>0.022</v>
      </c>
      <c r="J402" t="n">
        <v>-12.638</v>
      </c>
      <c r="K402" t="inlineStr">
        <is>
          <t>Bitcoin posts surprise rally as currency nears $70,000 for the first time since June - Fortune</t>
        </is>
      </c>
      <c r="L40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2" t="inlineStr">
        <is>
          <t>Japanese Yen holds range near 158.00 vs USD before Fed, BoJ decisions - FXStreet</t>
        </is>
      </c>
      <c r="N402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2" t="inlineStr">
        <is>
          <t>UAE injects $8bn into banking system as liquidity falls - TheBanker.com</t>
        </is>
      </c>
      <c r="P4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2" t="inlineStr">
        <is>
          <t>finbert</t>
        </is>
      </c>
      <c r="R402" t="inlineStr">
        <is>
          <t>USD/JPY outlook: BOJ holds steady as intervention risk builds - FOREX.com</t>
        </is>
      </c>
      <c r="S40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02" t="inlineStr">
        <is>
          <t>Federal Funds Rate History 1990 to 2026 - Forbes</t>
        </is>
      </c>
      <c r="U40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02" t="inlineStr">
        <is>
          <t>Major brokerages expect next Fed rate hike in December - Reuters</t>
        </is>
      </c>
      <c r="W402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3">
      <c r="A403" t="inlineStr">
        <is>
          <t>2026-10-20T13:32:15+00:00</t>
        </is>
      </c>
      <c r="B403" t="inlineStr">
        <is>
          <t>2026-10-20</t>
        </is>
      </c>
      <c r="C403" t="inlineStr">
        <is>
          <t>Trade Wars &amp; Escalations</t>
        </is>
      </c>
      <c r="D403" t="n">
        <v>40</v>
      </c>
      <c r="E403" t="n">
        <v>0.5600000000000001</v>
      </c>
      <c r="F403" t="n">
        <v>-0.21</v>
      </c>
      <c r="G403" t="n">
        <v>29</v>
      </c>
      <c r="H403" t="n">
        <v>0.904</v>
      </c>
      <c r="I403" t="n">
        <v>0.138</v>
      </c>
      <c r="J403" t="n">
        <v>7.707</v>
      </c>
      <c r="K403" t="inlineStr">
        <is>
          <t>Trump uses Depression-era law to ban Canadian alcohol in trade war escalation - WRTV</t>
        </is>
      </c>
      <c r="L40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3" t="inlineStr">
        <is>
          <t>Canada’s housing market retreats as rates hikes and trade war escalation collide - RBC</t>
        </is>
      </c>
      <c r="N403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3" t="inlineStr">
        <is>
          <t>How to Increase America’s AI Lead Over China - Institute for Progress (IFP)</t>
        </is>
      </c>
      <c r="P403" t="inlineStr">
        <is>
          <t>https://news.google.com/rss/articles/CBMibEFVX3lxTE8zVmlYVVlKak1CanhXNEc1NkstUU9LOTQwTE9yMlBlRTliVEtENUpmaG9TclB4eFpKbVdLVklZbzgxaHVLR2wtbHZxNXQ4UFZFVUkzaFRyZ2UyaWhZZU8yUFJndlI3VTVGQU14eA?oc=5</t>
        </is>
      </c>
      <c r="Q403" t="inlineStr">
        <is>
          <t>vader</t>
        </is>
      </c>
      <c r="R403" t="inlineStr">
        <is>
          <t>BD Wins Tariff Relief Through Manufacturing Pact - Medical Device and Diagnostic industry</t>
        </is>
      </c>
      <c r="S40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3" t="inlineStr">
        <is>
          <t>Toys Included in New U.S.-China Tariff Relief Agreement - The Toy Book</t>
        </is>
      </c>
      <c r="U40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3" t="inlineStr">
        <is>
          <t>U.S. and China Strike Agreement for $60 Billion in Tariff Relief - Modaes</t>
        </is>
      </c>
      <c r="W40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4">
      <c r="A404" t="inlineStr">
        <is>
          <t>2026-10-20T19:59:21+00:00</t>
        </is>
      </c>
      <c r="B404" t="inlineStr">
        <is>
          <t>2026-10-20</t>
        </is>
      </c>
      <c r="C404" t="inlineStr">
        <is>
          <t>Middle East Oil Risk</t>
        </is>
      </c>
      <c r="D404" t="n">
        <v>47</v>
      </c>
      <c r="E404" t="n">
        <v>0.446</v>
      </c>
      <c r="F404" t="n">
        <v>-0.481</v>
      </c>
      <c r="G404" t="n">
        <v>32</v>
      </c>
      <c r="H404" t="n">
        <v>0.855</v>
      </c>
      <c r="I404" t="n">
        <v>-0.152</v>
      </c>
      <c r="J404" t="n">
        <v>21.244</v>
      </c>
      <c r="K404" t="inlineStr">
        <is>
          <t>Houthi attack kills 53 in biggest single loss of life since Yemen civil war reignited - The Guardian</t>
        </is>
      </c>
      <c r="L40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4" t="inlineStr">
        <is>
          <t>Israel-Hezbollah clashes kill 11 as Mideast conflict escalation gathers pace after U.S.-Iran strikes - CNBC</t>
        </is>
      </c>
      <c r="N4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04" t="inlineStr">
        <is>
          <t>Lebanon fears renewed war as Israel-Hezbollah tensions rise - Arab News</t>
        </is>
      </c>
      <c r="P40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04" t="inlineStr">
        <is>
          <t>vader</t>
        </is>
      </c>
      <c r="R404" t="inlineStr">
        <is>
          <t>Acting Special Coordinator for the Middle East Peace Process's remarks at the Security Council on the Report of the Secretary-General on the Implementation of UNSCR 2334 [as delivered] - DPPA</t>
        </is>
      </c>
      <c r="S40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4" t="inlineStr">
        <is>
          <t>Gaza: 340 children killed despite ceasefire agreement - UNICEF - UN News</t>
        </is>
      </c>
      <c r="U404" t="inlineStr">
        <is>
          <t>https://news.google.com/rss/articles/CBMiV0FVX3lxTE94N19hcVhoa1F6QW9pZ3R2eEZBWnpJN1RHTjczS28yZFIyQ183VnI5RlBxZFk2a0tTVkszOWNXOG11dVZDZEhhd3JYUjh3dUI0Mk85eEpTNA?oc=5</t>
        </is>
      </c>
      <c r="V404" t="inlineStr">
        <is>
          <t>Gaza: 340 children killed despite ceasefire agreement – UNICEF - The European Sting</t>
        </is>
      </c>
      <c r="W40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5">
      <c r="A405" t="inlineStr">
        <is>
          <t>2026-10-20T19:59:21+00:00</t>
        </is>
      </c>
      <c r="B405" t="inlineStr">
        <is>
          <t>2026-10-20</t>
        </is>
      </c>
      <c r="C405" t="inlineStr">
        <is>
          <t>Macroeconomic Interventions</t>
        </is>
      </c>
      <c r="D405" t="n">
        <v>40</v>
      </c>
      <c r="E405" t="n">
        <v>0.485</v>
      </c>
      <c r="F405" t="n">
        <v>0.023</v>
      </c>
      <c r="G405" t="n">
        <v>32</v>
      </c>
      <c r="H405" t="n">
        <v>0.419</v>
      </c>
      <c r="I405" t="n">
        <v>-0.014</v>
      </c>
      <c r="J405" t="n">
        <v>-12.396</v>
      </c>
      <c r="K405" t="inlineStr">
        <is>
          <t>Bitcoin posts surprise rally as currency nears $70,000 for the first time since June - Fortune</t>
        </is>
      </c>
      <c r="L4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5" t="inlineStr">
        <is>
          <t>Japanese Yen holds range near 158.00 vs USD before Fed, BoJ decisions - FXStreet</t>
        </is>
      </c>
      <c r="N405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5" t="inlineStr">
        <is>
          <t>UAE injects $8bn into banking system as liquidity falls - TheBanker.com</t>
        </is>
      </c>
      <c r="P4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5" t="inlineStr">
        <is>
          <t>finbert</t>
        </is>
      </c>
      <c r="R405" t="inlineStr">
        <is>
          <t>Federal Funds Rate History 1990 to 2026 - Forbes</t>
        </is>
      </c>
      <c r="S40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5" t="inlineStr">
        <is>
          <t>Shirai Sees BOJ Policy Still Dovish Even After Ueda Delivers What Many See as Hawkish Hold - Kathleen Hays Presents: Central Bank Central</t>
        </is>
      </c>
      <c r="U40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5" t="inlineStr">
        <is>
          <t>U.S. efforts to prop up Japanese Yen is purely to stabilize its own bond market: Economist - CNBC</t>
        </is>
      </c>
      <c r="W40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6">
      <c r="A406" t="inlineStr">
        <is>
          <t>2026-10-20T19:59:21+00:00</t>
        </is>
      </c>
      <c r="B406" t="inlineStr">
        <is>
          <t>2026-10-20</t>
        </is>
      </c>
      <c r="C406" t="inlineStr">
        <is>
          <t>Trade Wars &amp; Escalations</t>
        </is>
      </c>
      <c r="D406" t="n">
        <v>39</v>
      </c>
      <c r="E406" t="n">
        <v>0.51</v>
      </c>
      <c r="F406" t="n">
        <v>-0.192</v>
      </c>
      <c r="G406" t="n">
        <v>29</v>
      </c>
      <c r="H406" t="n">
        <v>0.892</v>
      </c>
      <c r="I406" t="n">
        <v>0.119</v>
      </c>
      <c r="J406" t="n">
        <v>7.016</v>
      </c>
      <c r="K406" t="inlineStr">
        <is>
          <t>Trump uses Depression-era law to ban Canadian alcohol in trade war escalation - WRTV</t>
        </is>
      </c>
      <c r="L40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6" t="inlineStr">
        <is>
          <t>Canada’s housing market retreats as rates hikes and trade war escalation collide - RBC</t>
        </is>
      </c>
      <c r="N406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6" t="inlineStr">
        <is>
          <t>How the trade war with Canada is hitting US states—and could sway midterm elections - Atlantic Council</t>
        </is>
      </c>
      <c r="P40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6" t="inlineStr">
        <is>
          <t>vader</t>
        </is>
      </c>
      <c r="R406" t="inlineStr">
        <is>
          <t>BD Wins Tariff Relief Through Manufacturing Pact - Medical Device and Diagnostic industry</t>
        </is>
      </c>
      <c r="S40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6" t="inlineStr">
        <is>
          <t>Toys Included in New U.S.-China Tariff Relief Agreement - The Toy Book</t>
        </is>
      </c>
      <c r="U40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6" t="inlineStr">
        <is>
          <t>US and China agree on tariff relief for $30bn of nonsensitive goods each - Nikkei Asia</t>
        </is>
      </c>
      <c r="W40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07">
      <c r="A407" t="inlineStr">
        <is>
          <t>2026-10-20T23:08:42+00:00</t>
        </is>
      </c>
      <c r="B407" t="inlineStr">
        <is>
          <t>2026-10-20</t>
        </is>
      </c>
      <c r="C407" t="inlineStr">
        <is>
          <t>Middle East Oil Risk</t>
        </is>
      </c>
      <c r="D407" t="n">
        <v>47</v>
      </c>
      <c r="E407" t="n">
        <v>0.405</v>
      </c>
      <c r="F407" t="n">
        <v>-0.482</v>
      </c>
      <c r="G407" t="n">
        <v>32</v>
      </c>
      <c r="H407" t="n">
        <v>0.824</v>
      </c>
      <c r="I407" t="n">
        <v>-0.096</v>
      </c>
      <c r="J407" t="n">
        <v>20.371</v>
      </c>
      <c r="K407" t="inlineStr">
        <is>
          <t>Houthi attack kills 53 in biggest single loss of life since Yemen civil war reignited - The Guardian</t>
        </is>
      </c>
      <c r="L40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7" t="inlineStr">
        <is>
          <t>USA/Israel/Iran: Investigation into US-Israeli strikes on Tehran neighbourhoods reveals devastating civilian harm - Amnesty International</t>
        </is>
      </c>
      <c r="N40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7" t="inlineStr">
        <is>
          <t>Israel-Hezbollah clashes kill 11 as Mideast conflict escalation gathers pace after U.S.-Iran strikes - CNBC</t>
        </is>
      </c>
      <c r="P4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7" t="inlineStr">
        <is>
          <t>vader</t>
        </is>
      </c>
      <c r="R407" t="inlineStr">
        <is>
          <t>Acting Special Coordinator for the Middle East Peace Process's remarks at the Security Council on the Report of the Secretary-General on the Implementation of UNSCR 2334 [as delivered] - DPPA</t>
        </is>
      </c>
      <c r="S40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7" t="inlineStr">
        <is>
          <t>Gaza: 340 children killed despite ceasefire agreement - UNICEF - UN News</t>
        </is>
      </c>
      <c r="U407" t="inlineStr">
        <is>
          <t>https://news.google.com/rss/articles/CBMiV0FVX3lxTE94N19hcVhoa1F6QW9pZ3R2eEZBWnpJN1RHTjczS28yZFIyQ183VnI5RlBxZFk2a0tTVkszOWNXOG11dVZDZEhhd3JYUjh3dUI0Mk85eEpTNA?oc=5</t>
        </is>
      </c>
      <c r="V407" t="inlineStr">
        <is>
          <t>Gaza: 340 children killed despite ceasefire agreement – UNICEF - The European Sting</t>
        </is>
      </c>
      <c r="W40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8">
      <c r="A408" t="inlineStr">
        <is>
          <t>2026-10-20T23:08:42+00:00</t>
        </is>
      </c>
      <c r="B408" t="inlineStr">
        <is>
          <t>2026-10-20</t>
        </is>
      </c>
      <c r="C408" t="inlineStr">
        <is>
          <t>Macroeconomic Interventions</t>
        </is>
      </c>
      <c r="D408" t="n">
        <v>40</v>
      </c>
      <c r="E408" t="n">
        <v>0.5570000000000001</v>
      </c>
      <c r="F408" t="n">
        <v>0.05</v>
      </c>
      <c r="G408" t="n">
        <v>32</v>
      </c>
      <c r="H408" t="n">
        <v>0.439</v>
      </c>
      <c r="I408" t="n">
        <v>-0.014</v>
      </c>
      <c r="J408" t="n">
        <v>-14.176</v>
      </c>
      <c r="K408" t="inlineStr">
        <is>
          <t>Bitcoin posts surprise rally as currency nears $70,000 for the first time since June - Fortune</t>
        </is>
      </c>
      <c r="L4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8" t="inlineStr">
        <is>
          <t>UAE injects $8bn into banking system as liquidity falls - TheBanker.com</t>
        </is>
      </c>
      <c r="N4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08" t="inlineStr">
        <is>
          <t>How the RBI manages cash in the banking system - Substack</t>
        </is>
      </c>
      <c r="P40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08" t="inlineStr">
        <is>
          <t>finbert</t>
        </is>
      </c>
      <c r="R408" t="inlineStr">
        <is>
          <t>Federal Funds Rate History 1990 to 2026 - Forbes</t>
        </is>
      </c>
      <c r="S4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8" t="inlineStr">
        <is>
          <t>Shirai Sees BOJ Policy Still Dovish Even After Ueda Delivers What Many See as Hawkish Hold - Kathleen Hays Presents: Central Bank Central</t>
        </is>
      </c>
      <c r="U40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8" t="inlineStr">
        <is>
          <t>U.S. efforts to prop up Japanese Yen is purely to stabilize its own bond market: Economist - CNBC</t>
        </is>
      </c>
      <c r="W40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9">
      <c r="A409" t="inlineStr">
        <is>
          <t>2026-10-20T23:08:42+00:00</t>
        </is>
      </c>
      <c r="B409" t="inlineStr">
        <is>
          <t>2026-10-20</t>
        </is>
      </c>
      <c r="C409" t="inlineStr">
        <is>
          <t>Trade Wars &amp; Escalations</t>
        </is>
      </c>
      <c r="D409" t="n">
        <v>39</v>
      </c>
      <c r="E409" t="n">
        <v>0.51</v>
      </c>
      <c r="F409" t="n">
        <v>-0.202</v>
      </c>
      <c r="G409" t="n">
        <v>30</v>
      </c>
      <c r="H409" t="n">
        <v>0.896</v>
      </c>
      <c r="I409" t="n">
        <v>0.115</v>
      </c>
      <c r="J409" t="n">
        <v>6.707</v>
      </c>
      <c r="K409" t="inlineStr">
        <is>
          <t>Trump uses Depression-era law to ban Canadian alcohol in trade war escalation - WRTV</t>
        </is>
      </c>
      <c r="L40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9" t="inlineStr">
        <is>
          <t>Canada’s housing market retreats as rates hikes and trade war escalation collide - RBC</t>
        </is>
      </c>
      <c r="N40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9" t="inlineStr">
        <is>
          <t>How the trade war with Canada is hitting US states—and could sway midterm elections - Atlantic Council</t>
        </is>
      </c>
      <c r="P409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9" t="inlineStr">
        <is>
          <t>vader</t>
        </is>
      </c>
      <c r="R409" t="inlineStr">
        <is>
          <t>BD Wins Tariff Relief Through Manufacturing Pact - Medical Device and Diagnostic industry</t>
        </is>
      </c>
      <c r="S40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9" t="inlineStr">
        <is>
          <t>Toys Included in New U.S.-China Tariff Relief Agreement - The Toy Book</t>
        </is>
      </c>
      <c r="U40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9" t="inlineStr">
        <is>
          <t>US and China agree on tariff relief for $30bn of nonsensitive goods each - Nikkei Asia</t>
        </is>
      </c>
      <c r="W40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2026-10-18</t>
        </is>
      </c>
      <c r="B37" t="inlineStr">
        <is>
          <t>Macroeconomic Interventions</t>
        </is>
      </c>
      <c r="C37" t="n">
        <v>160</v>
      </c>
      <c r="D37" t="n">
        <v>128</v>
      </c>
      <c r="E37" t="n">
        <v>-9.773999999999999</v>
      </c>
      <c r="F37">
        <f>IF(B36=B37, IFERROR((E37-E36)/ABS(E36), "n/a"), "")</f>
        <v/>
      </c>
    </row>
    <row r="38">
      <c r="A38" t="inlineStr">
        <is>
          <t>2026-10-19</t>
        </is>
      </c>
      <c r="B38" t="inlineStr">
        <is>
          <t>Macroeconomic Interventions</t>
        </is>
      </c>
      <c r="C38" t="n">
        <v>120</v>
      </c>
      <c r="D38" t="n">
        <v>96</v>
      </c>
      <c r="E38" t="n">
        <v>-13.652</v>
      </c>
      <c r="F38">
        <f>IF(B37=B38, IFERROR((E38-E37)/ABS(E37), "n/a"), "")</f>
        <v/>
      </c>
    </row>
    <row r="39">
      <c r="A39" t="inlineStr">
        <is>
          <t>2026-09-13</t>
        </is>
      </c>
      <c r="B39" t="inlineStr">
        <is>
          <t>Middle East Oil Risk</t>
        </is>
      </c>
      <c r="C39" t="n">
        <v>234</v>
      </c>
      <c r="D39" t="n">
        <v>155</v>
      </c>
      <c r="E39" t="n">
        <v>7.073</v>
      </c>
      <c r="F39">
        <f>IF(B38=B39, IFERROR((E39-E38)/ABS(E38), "n/a"), "")</f>
        <v/>
      </c>
    </row>
    <row r="40">
      <c r="A40" t="inlineStr">
        <is>
          <t>2026-09-14</t>
        </is>
      </c>
      <c r="B40" t="inlineStr">
        <is>
          <t>Middle East Oil Risk</t>
        </is>
      </c>
      <c r="C40" t="n">
        <v>137</v>
      </c>
      <c r="D40" t="n">
        <v>96</v>
      </c>
      <c r="E40" t="n">
        <v>21.06</v>
      </c>
      <c r="F40">
        <f>IF(B39=B40, IFERROR((E40-E39)/ABS(E39), "n/a"), "")</f>
        <v/>
      </c>
    </row>
    <row r="41">
      <c r="A41" t="inlineStr">
        <is>
          <t>2026-09-15</t>
        </is>
      </c>
      <c r="B41" t="inlineStr">
        <is>
          <t>Middle East Oil Risk</t>
        </is>
      </c>
      <c r="C41" t="n">
        <v>186</v>
      </c>
      <c r="D41" t="n">
        <v>120</v>
      </c>
      <c r="E41" t="n">
        <v>22.642</v>
      </c>
      <c r="F41">
        <f>IF(B40=B41, IFERROR((E41-E40)/ABS(E40), "n/a"), "")</f>
        <v/>
      </c>
    </row>
    <row r="42">
      <c r="A42" t="inlineStr">
        <is>
          <t>2026-09-16</t>
        </is>
      </c>
      <c r="B42" t="inlineStr">
        <is>
          <t>Middle East Oil Risk</t>
        </is>
      </c>
      <c r="C42" t="n">
        <v>190</v>
      </c>
      <c r="D42" t="n">
        <v>128</v>
      </c>
      <c r="E42" t="n">
        <v>20.494</v>
      </c>
      <c r="F42">
        <f>IF(B41=B42, IFERROR((E42-E41)/ABS(E41), "n/a"), "")</f>
        <v/>
      </c>
    </row>
    <row r="43">
      <c r="A43" t="inlineStr">
        <is>
          <t>2026-09-17</t>
        </is>
      </c>
      <c r="B43" t="inlineStr">
        <is>
          <t>Middle East Oil Risk</t>
        </is>
      </c>
      <c r="C43" t="n">
        <v>192</v>
      </c>
      <c r="D43" t="n">
        <v>128</v>
      </c>
      <c r="E43" t="n">
        <v>20.948</v>
      </c>
      <c r="F43">
        <f>IF(B42=B43, IFERROR((E43-E42)/ABS(E42), "n/a"), "")</f>
        <v/>
      </c>
    </row>
    <row r="44">
      <c r="A44" t="inlineStr">
        <is>
          <t>2026-09-18</t>
        </is>
      </c>
      <c r="B44" t="inlineStr">
        <is>
          <t>Middle East Oil Risk</t>
        </is>
      </c>
      <c r="C44" t="n">
        <v>189</v>
      </c>
      <c r="D44" t="n">
        <v>125</v>
      </c>
      <c r="E44" t="n">
        <v>20.675</v>
      </c>
      <c r="F44">
        <f>IF(B43=B44, IFERROR((E44-E43)/ABS(E43), "n/a"), "")</f>
        <v/>
      </c>
    </row>
    <row r="45">
      <c r="A45" t="inlineStr">
        <is>
          <t>2026-09-19</t>
        </is>
      </c>
      <c r="B45" t="inlineStr">
        <is>
          <t>Middle East Oil Risk</t>
        </is>
      </c>
      <c r="C45" t="n">
        <v>187</v>
      </c>
      <c r="D45" t="n">
        <v>128</v>
      </c>
      <c r="E45" t="n">
        <v>19.45</v>
      </c>
      <c r="F45">
        <f>IF(B44=B45, IFERROR((E45-E44)/ABS(E44), "n/a"), "")</f>
        <v/>
      </c>
    </row>
    <row r="46">
      <c r="A46" t="inlineStr">
        <is>
          <t>2026-09-20</t>
        </is>
      </c>
      <c r="B46" t="inlineStr">
        <is>
          <t>Middle East Oil Risk</t>
        </is>
      </c>
      <c r="C46" t="n">
        <v>190</v>
      </c>
      <c r="D46" t="n">
        <v>127</v>
      </c>
      <c r="E46" t="n">
        <v>18.638</v>
      </c>
      <c r="F46">
        <f>IF(B45=B46, IFERROR((E46-E45)/ABS(E45), "n/a"), "")</f>
        <v/>
      </c>
    </row>
    <row r="47">
      <c r="A47" t="inlineStr">
        <is>
          <t>2026-09-21</t>
        </is>
      </c>
      <c r="B47" t="inlineStr">
        <is>
          <t>Middle East Oil Risk</t>
        </is>
      </c>
      <c r="C47" t="n">
        <v>142</v>
      </c>
      <c r="D47" t="n">
        <v>95</v>
      </c>
      <c r="E47" t="n">
        <v>19.744</v>
      </c>
      <c r="F47">
        <f>IF(B46=B47, IFERROR((E47-E46)/ABS(E46), "n/a"), "")</f>
        <v/>
      </c>
    </row>
    <row r="48">
      <c r="A48" t="inlineStr">
        <is>
          <t>2026-09-22</t>
        </is>
      </c>
      <c r="B48" t="inlineStr">
        <is>
          <t>Middle East Oil Risk</t>
        </is>
      </c>
      <c r="C48" t="n">
        <v>186</v>
      </c>
      <c r="D48" t="n">
        <v>128</v>
      </c>
      <c r="E48" t="n">
        <v>18.521</v>
      </c>
      <c r="F48">
        <f>IF(B47=B48, IFERROR((E48-E47)/ABS(E47), "n/a"), "")</f>
        <v/>
      </c>
    </row>
    <row r="49">
      <c r="A49" t="inlineStr">
        <is>
          <t>2026-09-23</t>
        </is>
      </c>
      <c r="B49" t="inlineStr">
        <is>
          <t>Middle East Oil Risk</t>
        </is>
      </c>
      <c r="C49" t="n">
        <v>189</v>
      </c>
      <c r="D49" t="n">
        <v>128</v>
      </c>
      <c r="E49" t="n">
        <v>19.348</v>
      </c>
      <c r="F49">
        <f>IF(B48=B49, IFERROR((E49-E48)/ABS(E48), "n/a"), "")</f>
        <v/>
      </c>
    </row>
    <row r="50">
      <c r="A50" t="inlineStr">
        <is>
          <t>2026-09-24</t>
        </is>
      </c>
      <c r="B50" t="inlineStr">
        <is>
          <t>Middle East Oil Risk</t>
        </is>
      </c>
      <c r="C50" t="n">
        <v>191</v>
      </c>
      <c r="D50" t="n">
        <v>128</v>
      </c>
      <c r="E50" t="n">
        <v>18.798</v>
      </c>
      <c r="F50">
        <f>IF(B49=B50, IFERROR((E50-E49)/ABS(E49), "n/a"), "")</f>
        <v/>
      </c>
    </row>
    <row r="51">
      <c r="A51" t="inlineStr">
        <is>
          <t>2026-09-25</t>
        </is>
      </c>
      <c r="B51" t="inlineStr">
        <is>
          <t>Middle East Oil Risk</t>
        </is>
      </c>
      <c r="C51" t="n">
        <v>191</v>
      </c>
      <c r="D51" t="n">
        <v>127</v>
      </c>
      <c r="E51" t="n">
        <v>18.42</v>
      </c>
      <c r="F51">
        <f>IF(B50=B51, IFERROR((E51-E50)/ABS(E50), "n/a"), "")</f>
        <v/>
      </c>
    </row>
    <row r="52">
      <c r="A52" t="inlineStr">
        <is>
          <t>2026-09-26</t>
        </is>
      </c>
      <c r="B52" t="inlineStr">
        <is>
          <t>Middle East Oil Risk</t>
        </is>
      </c>
      <c r="C52" t="n">
        <v>192</v>
      </c>
      <c r="D52" t="n">
        <v>125</v>
      </c>
      <c r="E52" t="n">
        <v>18.747</v>
      </c>
      <c r="F52">
        <f>IF(B51=B52, IFERROR((E52-E51)/ABS(E51), "n/a"), "")</f>
        <v/>
      </c>
    </row>
    <row r="53">
      <c r="A53" t="inlineStr">
        <is>
          <t>2026-09-27</t>
        </is>
      </c>
      <c r="B53" t="inlineStr">
        <is>
          <t>Middle East Oil Risk</t>
        </is>
      </c>
      <c r="C53" t="n">
        <v>191</v>
      </c>
      <c r="D53" t="n">
        <v>120</v>
      </c>
      <c r="E53" t="n">
        <v>19.726</v>
      </c>
      <c r="F53">
        <f>IF(B52=B53, IFERROR((E53-E52)/ABS(E52), "n/a"), "")</f>
        <v/>
      </c>
    </row>
    <row r="54">
      <c r="A54" t="inlineStr">
        <is>
          <t>2026-09-28</t>
        </is>
      </c>
      <c r="B54" t="inlineStr">
        <is>
          <t>Middle East Oil Risk</t>
        </is>
      </c>
      <c r="C54" t="n">
        <v>48</v>
      </c>
      <c r="D54" t="n">
        <v>29</v>
      </c>
      <c r="E54" t="n">
        <v>9.458</v>
      </c>
      <c r="F54">
        <f>IF(B53=B54, IFERROR((E54-E53)/ABS(E53), "n/a"), "")</f>
        <v/>
      </c>
    </row>
    <row r="55">
      <c r="A55" t="inlineStr">
        <is>
          <t>2026-09-29</t>
        </is>
      </c>
      <c r="B55" t="inlineStr">
        <is>
          <t>Middle East Oil Risk</t>
        </is>
      </c>
      <c r="C55" t="n">
        <v>192</v>
      </c>
      <c r="D55" t="n">
        <v>118</v>
      </c>
      <c r="E55" t="n">
        <v>19.082</v>
      </c>
      <c r="F55">
        <f>IF(B54=B55, IFERROR((E55-E54)/ABS(E54), "n/a"), "")</f>
        <v/>
      </c>
    </row>
    <row r="56">
      <c r="A56" t="inlineStr">
        <is>
          <t>2026-09-30</t>
        </is>
      </c>
      <c r="B56" t="inlineStr">
        <is>
          <t>Middle East Oil Risk</t>
        </is>
      </c>
      <c r="C56" t="n">
        <v>143</v>
      </c>
      <c r="D56" t="n">
        <v>85</v>
      </c>
      <c r="E56" t="n">
        <v>21.135</v>
      </c>
      <c r="F56">
        <f>IF(B55=B56, IFERROR((E56-E55)/ABS(E55), "n/a"), "")</f>
        <v/>
      </c>
    </row>
    <row r="57">
      <c r="A57" t="inlineStr">
        <is>
          <t>2026-10-01</t>
        </is>
      </c>
      <c r="B57" t="inlineStr">
        <is>
          <t>Middle East Oil Risk</t>
        </is>
      </c>
      <c r="C57" t="n">
        <v>144</v>
      </c>
      <c r="D57" t="n">
        <v>85</v>
      </c>
      <c r="E57" t="n">
        <v>20.801</v>
      </c>
      <c r="F57">
        <f>IF(B56=B57, IFERROR((E57-E56)/ABS(E56), "n/a"), "")</f>
        <v/>
      </c>
    </row>
    <row r="58">
      <c r="A58" t="inlineStr">
        <is>
          <t>2026-10-02</t>
        </is>
      </c>
      <c r="B58" t="inlineStr">
        <is>
          <t>Middle East Oil Risk</t>
        </is>
      </c>
      <c r="C58" t="n">
        <v>142</v>
      </c>
      <c r="D58" t="n">
        <v>88</v>
      </c>
      <c r="E58" t="n">
        <v>18.71</v>
      </c>
      <c r="F58">
        <f>IF(B57=B58, IFERROR((E58-E57)/ABS(E57), "n/a"), "")</f>
        <v/>
      </c>
    </row>
    <row r="59">
      <c r="A59" t="inlineStr">
        <is>
          <t>2026-10-03</t>
        </is>
      </c>
      <c r="B59" t="inlineStr">
        <is>
          <t>Middle East Oil Risk</t>
        </is>
      </c>
      <c r="C59" t="n">
        <v>191</v>
      </c>
      <c r="D59" t="n">
        <v>124</v>
      </c>
      <c r="E59" t="n">
        <v>18.554</v>
      </c>
      <c r="F59">
        <f>IF(B58=B59, IFERROR((E59-E58)/ABS(E58), "n/a"), "")</f>
        <v/>
      </c>
    </row>
    <row r="60">
      <c r="A60" t="inlineStr">
        <is>
          <t>2026-10-04</t>
        </is>
      </c>
      <c r="B60" t="inlineStr">
        <is>
          <t>Middle East Oil Risk</t>
        </is>
      </c>
      <c r="C60" t="n">
        <v>188</v>
      </c>
      <c r="D60" t="n">
        <v>128</v>
      </c>
      <c r="E60" t="n">
        <v>18.978</v>
      </c>
      <c r="F60">
        <f>IF(B59=B60, IFERROR((E60-E59)/ABS(E59), "n/a"), "")</f>
        <v/>
      </c>
    </row>
    <row r="61">
      <c r="A61" t="inlineStr">
        <is>
          <t>2026-10-05</t>
        </is>
      </c>
      <c r="B61" t="inlineStr">
        <is>
          <t>Middle East Oil Risk</t>
        </is>
      </c>
      <c r="C61" t="n">
        <v>92</v>
      </c>
      <c r="D61" t="n">
        <v>64</v>
      </c>
      <c r="E61" t="n">
        <v>20.275</v>
      </c>
      <c r="F61">
        <f>IF(B60=B61, IFERROR((E61-E60)/ABS(E60), "n/a"), "")</f>
        <v/>
      </c>
    </row>
    <row r="62">
      <c r="A62" t="inlineStr">
        <is>
          <t>2026-10-06</t>
        </is>
      </c>
      <c r="B62" t="inlineStr">
        <is>
          <t>Middle East Oil Risk</t>
        </is>
      </c>
      <c r="C62" t="n">
        <v>183</v>
      </c>
      <c r="D62" t="n">
        <v>128</v>
      </c>
      <c r="E62" t="n">
        <v>17.658</v>
      </c>
      <c r="F62">
        <f>IF(B61=B62, IFERROR((E62-E61)/ABS(E61), "n/a"), "")</f>
        <v/>
      </c>
    </row>
    <row r="63">
      <c r="A63" t="inlineStr">
        <is>
          <t>2026-10-07</t>
        </is>
      </c>
      <c r="B63" t="inlineStr">
        <is>
          <t>Middle East Oil Risk</t>
        </is>
      </c>
      <c r="C63" t="n">
        <v>139</v>
      </c>
      <c r="D63" t="n">
        <v>96</v>
      </c>
      <c r="E63" t="n">
        <v>17.221</v>
      </c>
      <c r="F63">
        <f>IF(B62=B63, IFERROR((E63-E62)/ABS(E62), "n/a"), "")</f>
        <v/>
      </c>
    </row>
    <row r="64">
      <c r="A64" t="inlineStr">
        <is>
          <t>2026-10-08</t>
        </is>
      </c>
      <c r="B64" t="inlineStr">
        <is>
          <t>Middle East Oil Risk</t>
        </is>
      </c>
      <c r="C64" t="n">
        <v>135</v>
      </c>
      <c r="D64" t="n">
        <v>91</v>
      </c>
      <c r="E64" t="n">
        <v>16.845</v>
      </c>
      <c r="F64">
        <f>IF(B63=B64, IFERROR((E64-E63)/ABS(E63), "n/a"), "")</f>
        <v/>
      </c>
    </row>
    <row r="65">
      <c r="A65" t="inlineStr">
        <is>
          <t>2026-10-09</t>
        </is>
      </c>
      <c r="B65" t="inlineStr">
        <is>
          <t>Middle East Oil Risk</t>
        </is>
      </c>
      <c r="C65" t="n">
        <v>138</v>
      </c>
      <c r="D65" t="n">
        <v>92</v>
      </c>
      <c r="E65" t="n">
        <v>16.708</v>
      </c>
      <c r="F65">
        <f>IF(B64=B65, IFERROR((E65-E64)/ABS(E64), "n/a"), "")</f>
        <v/>
      </c>
    </row>
    <row r="66">
      <c r="A66" t="inlineStr">
        <is>
          <t>2026-10-10</t>
        </is>
      </c>
      <c r="B66" t="inlineStr">
        <is>
          <t>Middle East Oil Risk</t>
        </is>
      </c>
      <c r="C66" t="n">
        <v>185</v>
      </c>
      <c r="D66" t="n">
        <v>125</v>
      </c>
      <c r="E66" t="n">
        <v>18.268</v>
      </c>
      <c r="F66">
        <f>IF(B65=B66, IFERROR((E66-E65)/ABS(E65), "n/a"), "")</f>
        <v/>
      </c>
    </row>
    <row r="67">
      <c r="A67" t="inlineStr">
        <is>
          <t>2026-10-11</t>
        </is>
      </c>
      <c r="B67" t="inlineStr">
        <is>
          <t>Middle East Oil Risk</t>
        </is>
      </c>
      <c r="C67" t="n">
        <v>140</v>
      </c>
      <c r="D67" t="n">
        <v>96</v>
      </c>
      <c r="E67" t="n">
        <v>19.833</v>
      </c>
      <c r="F67">
        <f>IF(B66=B67, IFERROR((E67-E66)/ABS(E66), "n/a"), "")</f>
        <v/>
      </c>
    </row>
    <row r="68">
      <c r="A68" t="inlineStr">
        <is>
          <t>2026-10-12</t>
        </is>
      </c>
      <c r="B68" t="inlineStr">
        <is>
          <t>Middle East Oil Risk</t>
        </is>
      </c>
      <c r="C68" t="n">
        <v>92</v>
      </c>
      <c r="D68" t="n">
        <v>64</v>
      </c>
      <c r="E68" t="n">
        <v>18.099</v>
      </c>
      <c r="F68">
        <f>IF(B67=B68, IFERROR((E68-E67)/ABS(E67), "n/a"), "")</f>
        <v/>
      </c>
    </row>
    <row r="69">
      <c r="A69" t="inlineStr">
        <is>
          <t>2026-10-13</t>
        </is>
      </c>
      <c r="B69" t="inlineStr">
        <is>
          <t>Middle East Oil Risk</t>
        </is>
      </c>
      <c r="C69" t="n">
        <v>182</v>
      </c>
      <c r="D69" t="n">
        <v>128</v>
      </c>
      <c r="E69" t="n">
        <v>17.736</v>
      </c>
      <c r="F69">
        <f>IF(B68=B69, IFERROR((E69-E68)/ABS(E68), "n/a"), "")</f>
        <v/>
      </c>
    </row>
    <row r="70">
      <c r="A70" t="inlineStr">
        <is>
          <t>2026-10-14</t>
        </is>
      </c>
      <c r="B70" t="inlineStr">
        <is>
          <t>Middle East Oil Risk</t>
        </is>
      </c>
      <c r="C70" t="n">
        <v>139</v>
      </c>
      <c r="D70" t="n">
        <v>95</v>
      </c>
      <c r="E70" t="n">
        <v>17.777</v>
      </c>
      <c r="F70">
        <f>IF(B69=B70, IFERROR((E70-E69)/ABS(E69), "n/a"), "")</f>
        <v/>
      </c>
    </row>
    <row r="71">
      <c r="A71" t="inlineStr">
        <is>
          <t>2026-10-15</t>
        </is>
      </c>
      <c r="B71" t="inlineStr">
        <is>
          <t>Middle East Oil Risk</t>
        </is>
      </c>
      <c r="C71" t="n">
        <v>187</v>
      </c>
      <c r="D71" t="n">
        <v>127</v>
      </c>
      <c r="E71" t="n">
        <v>16.99</v>
      </c>
      <c r="F71">
        <f>IF(B70=B71, IFERROR((E71-E70)/ABS(E70), "n/a"), "")</f>
        <v/>
      </c>
    </row>
    <row r="72">
      <c r="A72" t="inlineStr">
        <is>
          <t>2026-10-16</t>
        </is>
      </c>
      <c r="B72" t="inlineStr">
        <is>
          <t>Middle East Oil Risk</t>
        </is>
      </c>
      <c r="C72" t="n">
        <v>189</v>
      </c>
      <c r="D72" t="n">
        <v>128</v>
      </c>
      <c r="E72" t="n">
        <v>17.77</v>
      </c>
      <c r="F72">
        <f>IF(B71=B72, IFERROR((E72-E71)/ABS(E71), "n/a"), "")</f>
        <v/>
      </c>
    </row>
    <row r="73">
      <c r="A73" t="inlineStr">
        <is>
          <t>2026-10-17</t>
        </is>
      </c>
      <c r="B73" t="inlineStr">
        <is>
          <t>Middle East Oil Risk</t>
        </is>
      </c>
      <c r="C73" t="n">
        <v>191</v>
      </c>
      <c r="D73" t="n">
        <v>128</v>
      </c>
      <c r="E73" t="n">
        <v>17.474</v>
      </c>
      <c r="F73">
        <f>IF(B72=B73, IFERROR((E73-E72)/ABS(E72), "n/a"), "")</f>
        <v/>
      </c>
    </row>
    <row r="74">
      <c r="A74" t="inlineStr">
        <is>
          <t>2026-10-18</t>
        </is>
      </c>
      <c r="B74" t="inlineStr">
        <is>
          <t>Middle East Oil Risk</t>
        </is>
      </c>
      <c r="C74" t="n">
        <v>190</v>
      </c>
      <c r="D74" t="n">
        <v>128</v>
      </c>
      <c r="E74" t="n">
        <v>19.304</v>
      </c>
      <c r="F74">
        <f>IF(B73=B74, IFERROR((E74-E73)/ABS(E73), "n/a"), "")</f>
        <v/>
      </c>
    </row>
    <row r="75">
      <c r="A75" t="inlineStr">
        <is>
          <t>2026-10-19</t>
        </is>
      </c>
      <c r="B75" t="inlineStr">
        <is>
          <t>Middle East Oil Risk</t>
        </is>
      </c>
      <c r="C75" t="n">
        <v>142</v>
      </c>
      <c r="D75" t="n">
        <v>96</v>
      </c>
      <c r="E75" t="n">
        <v>18.242</v>
      </c>
      <c r="F75">
        <f>IF(B74=B75, IFERROR((E75-E74)/ABS(E74), "n/a"), "")</f>
        <v/>
      </c>
    </row>
    <row r="76">
      <c r="A76" t="inlineStr">
        <is>
          <t>2026-09-13</t>
        </is>
      </c>
      <c r="B76" t="inlineStr">
        <is>
          <t>Trade Wars &amp; Escalations</t>
        </is>
      </c>
      <c r="C76" t="n">
        <v>200</v>
      </c>
      <c r="D76" t="n">
        <v>160</v>
      </c>
      <c r="E76" t="n">
        <v>-2.614</v>
      </c>
      <c r="F76">
        <f>IF(B75=B76, IFERROR((E76-E75)/ABS(E75), "n/a"), "")</f>
        <v/>
      </c>
    </row>
    <row r="77">
      <c r="A77" t="inlineStr">
        <is>
          <t>2026-09-14</t>
        </is>
      </c>
      <c r="B77" t="inlineStr">
        <is>
          <t>Trade Wars &amp; Escalations</t>
        </is>
      </c>
      <c r="C77" t="n">
        <v>119</v>
      </c>
      <c r="D77" t="n">
        <v>96</v>
      </c>
      <c r="E77" t="n">
        <v>7.534</v>
      </c>
      <c r="F77">
        <f>IF(B76=B77, IFERROR((E77-E76)/ABS(E76), "n/a"), "")</f>
        <v/>
      </c>
    </row>
    <row r="78">
      <c r="A78" t="inlineStr">
        <is>
          <t>2026-09-15</t>
        </is>
      </c>
      <c r="B78" t="inlineStr">
        <is>
          <t>Trade Wars &amp; Escalations</t>
        </is>
      </c>
      <c r="C78" t="n">
        <v>155</v>
      </c>
      <c r="D78" t="n">
        <v>128</v>
      </c>
      <c r="E78" t="n">
        <v>7.745</v>
      </c>
      <c r="F78">
        <f>IF(B77=B78, IFERROR((E78-E77)/ABS(E77), "n/a"), "")</f>
        <v/>
      </c>
    </row>
    <row r="79">
      <c r="A79" t="inlineStr">
        <is>
          <t>2026-09-16</t>
        </is>
      </c>
      <c r="B79" t="inlineStr">
        <is>
          <t>Trade Wars &amp; Escalations</t>
        </is>
      </c>
      <c r="C79" t="n">
        <v>160</v>
      </c>
      <c r="D79" t="n">
        <v>128</v>
      </c>
      <c r="E79" t="n">
        <v>7.715</v>
      </c>
      <c r="F79">
        <f>IF(B78=B79, IFERROR((E79-E78)/ABS(E78), "n/a"), "")</f>
        <v/>
      </c>
    </row>
    <row r="80">
      <c r="A80" t="inlineStr">
        <is>
          <t>2026-09-17</t>
        </is>
      </c>
      <c r="B80" t="inlineStr">
        <is>
          <t>Trade Wars &amp; Escalations</t>
        </is>
      </c>
      <c r="C80" t="n">
        <v>160</v>
      </c>
      <c r="D80" t="n">
        <v>128</v>
      </c>
      <c r="E80" t="n">
        <v>8.067</v>
      </c>
      <c r="F80">
        <f>IF(B79=B80, IFERROR((E80-E79)/ABS(E79), "n/a"), "")</f>
        <v/>
      </c>
    </row>
    <row r="81">
      <c r="A81" t="inlineStr">
        <is>
          <t>2026-09-18</t>
        </is>
      </c>
      <c r="B81" t="inlineStr">
        <is>
          <t>Trade Wars &amp; Escalations</t>
        </is>
      </c>
      <c r="C81" t="n">
        <v>160</v>
      </c>
      <c r="D81" t="n">
        <v>128</v>
      </c>
      <c r="E81" t="n">
        <v>8.281000000000001</v>
      </c>
      <c r="F81">
        <f>IF(B80=B81, IFERROR((E81-E80)/ABS(E80), "n/a"), "")</f>
        <v/>
      </c>
    </row>
    <row r="82">
      <c r="A82" t="inlineStr">
        <is>
          <t>2026-09-19</t>
        </is>
      </c>
      <c r="B82" t="inlineStr">
        <is>
          <t>Trade Wars &amp; Escalations</t>
        </is>
      </c>
      <c r="C82" t="n">
        <v>160</v>
      </c>
      <c r="D82" t="n">
        <v>126</v>
      </c>
      <c r="E82" t="n">
        <v>7.681</v>
      </c>
      <c r="F82">
        <f>IF(B81=B82, IFERROR((E82-E81)/ABS(E81), "n/a"), "")</f>
        <v/>
      </c>
    </row>
    <row r="83">
      <c r="A83" t="inlineStr">
        <is>
          <t>2026-09-20</t>
        </is>
      </c>
      <c r="B83" t="inlineStr">
        <is>
          <t>Trade Wars &amp; Escalations</t>
        </is>
      </c>
      <c r="C83" t="n">
        <v>160</v>
      </c>
      <c r="D83" t="n">
        <v>126</v>
      </c>
      <c r="E83" t="n">
        <v>7</v>
      </c>
      <c r="F83">
        <f>IF(B82=B83, IFERROR((E83-E82)/ABS(E82), "n/a"), "")</f>
        <v/>
      </c>
    </row>
    <row r="84">
      <c r="A84" t="inlineStr">
        <is>
          <t>2026-09-21</t>
        </is>
      </c>
      <c r="B84" t="inlineStr">
        <is>
          <t>Trade Wars &amp; Escalations</t>
        </is>
      </c>
      <c r="C84" t="n">
        <v>120</v>
      </c>
      <c r="D84" t="n">
        <v>94</v>
      </c>
      <c r="E84" t="n">
        <v>7.051</v>
      </c>
      <c r="F84">
        <f>IF(B83=B84, IFERROR((E84-E83)/ABS(E83), "n/a"), "")</f>
        <v/>
      </c>
    </row>
    <row r="85">
      <c r="A85" t="inlineStr">
        <is>
          <t>2026-09-22</t>
        </is>
      </c>
      <c r="B85" t="inlineStr">
        <is>
          <t>Trade Wars &amp; Escalations</t>
        </is>
      </c>
      <c r="C85" t="n">
        <v>159</v>
      </c>
      <c r="D85" t="n">
        <v>126</v>
      </c>
      <c r="E85" t="n">
        <v>8.592000000000001</v>
      </c>
      <c r="F85">
        <f>IF(B84=B85, IFERROR((E85-E84)/ABS(E84), "n/a"), "")</f>
        <v/>
      </c>
    </row>
    <row r="86">
      <c r="A86" t="inlineStr">
        <is>
          <t>2026-09-23</t>
        </is>
      </c>
      <c r="B86" t="inlineStr">
        <is>
          <t>Trade Wars &amp; Escalations</t>
        </is>
      </c>
      <c r="C86" t="n">
        <v>158</v>
      </c>
      <c r="D86" t="n">
        <v>122</v>
      </c>
      <c r="E86" t="n">
        <v>9.541</v>
      </c>
      <c r="F86">
        <f>IF(B85=B86, IFERROR((E86-E85)/ABS(E85), "n/a"), "")</f>
        <v/>
      </c>
    </row>
    <row r="87">
      <c r="A87" t="inlineStr">
        <is>
          <t>2026-09-24</t>
        </is>
      </c>
      <c r="B87" t="inlineStr">
        <is>
          <t>Trade Wars &amp; Escalations</t>
        </is>
      </c>
      <c r="C87" t="n">
        <v>153</v>
      </c>
      <c r="D87" t="n">
        <v>125</v>
      </c>
      <c r="E87" t="n">
        <v>4.922</v>
      </c>
      <c r="F87">
        <f>IF(B86=B87, IFERROR((E87-E86)/ABS(E86), "n/a"), "")</f>
        <v/>
      </c>
    </row>
    <row r="88">
      <c r="A88" t="inlineStr">
        <is>
          <t>2026-09-25</t>
        </is>
      </c>
      <c r="B88" t="inlineStr">
        <is>
          <t>Trade Wars &amp; Escalations</t>
        </is>
      </c>
      <c r="C88" t="n">
        <v>160</v>
      </c>
      <c r="D88" t="n">
        <v>117</v>
      </c>
      <c r="E88" t="n">
        <v>8.41</v>
      </c>
      <c r="F88">
        <f>IF(B87=B88, IFERROR((E88-E87)/ABS(E87), "n/a"), "")</f>
        <v/>
      </c>
    </row>
    <row r="89">
      <c r="A89" t="inlineStr">
        <is>
          <t>2026-09-26</t>
        </is>
      </c>
      <c r="B89" t="inlineStr">
        <is>
          <t>Trade Wars &amp; Escalations</t>
        </is>
      </c>
      <c r="C89" t="n">
        <v>160</v>
      </c>
      <c r="D89" t="n">
        <v>124</v>
      </c>
      <c r="E89" t="n">
        <v>6.27</v>
      </c>
      <c r="F89">
        <f>IF(B88=B89, IFERROR((E89-E88)/ABS(E88), "n/a"), "")</f>
        <v/>
      </c>
    </row>
    <row r="90">
      <c r="A90" t="inlineStr">
        <is>
          <t>2026-09-27</t>
        </is>
      </c>
      <c r="B90" t="inlineStr">
        <is>
          <t>Trade Wars &amp; Escalations</t>
        </is>
      </c>
      <c r="C90" t="n">
        <v>159</v>
      </c>
      <c r="D90" t="n">
        <v>122</v>
      </c>
      <c r="E90" t="n">
        <v>7.708</v>
      </c>
      <c r="F90">
        <f>IF(B89=B90, IFERROR((E90-E89)/ABS(E89), "n/a"), "")</f>
        <v/>
      </c>
    </row>
    <row r="91">
      <c r="A91" t="inlineStr">
        <is>
          <t>2026-09-28</t>
        </is>
      </c>
      <c r="B91" t="inlineStr">
        <is>
          <t>Trade Wars &amp; Escalations</t>
        </is>
      </c>
      <c r="C91" t="n">
        <v>40</v>
      </c>
      <c r="D91" t="n">
        <v>31</v>
      </c>
      <c r="E91" t="n">
        <v>4.228</v>
      </c>
      <c r="F91">
        <f>IF(B90=B91, IFERROR((E91-E90)/ABS(E90), "n/a"), "")</f>
        <v/>
      </c>
    </row>
    <row r="92">
      <c r="A92" t="inlineStr">
        <is>
          <t>2026-09-29</t>
        </is>
      </c>
      <c r="B92" t="inlineStr">
        <is>
          <t>Trade Wars &amp; Escalations</t>
        </is>
      </c>
      <c r="C92" t="n">
        <v>160</v>
      </c>
      <c r="D92" t="n">
        <v>126</v>
      </c>
      <c r="E92" t="n">
        <v>6.904</v>
      </c>
      <c r="F92">
        <f>IF(B91=B92, IFERROR((E92-E91)/ABS(E91), "n/a"), "")</f>
        <v/>
      </c>
    </row>
    <row r="93">
      <c r="A93" t="inlineStr">
        <is>
          <t>2026-09-30</t>
        </is>
      </c>
      <c r="B93" t="inlineStr">
        <is>
          <t>Trade Wars &amp; Escalations</t>
        </is>
      </c>
      <c r="C93" t="n">
        <v>120</v>
      </c>
      <c r="D93" t="n">
        <v>94</v>
      </c>
      <c r="E93" t="n">
        <v>7.423</v>
      </c>
      <c r="F93">
        <f>IF(B92=B93, IFERROR((E93-E92)/ABS(E92), "n/a"), "")</f>
        <v/>
      </c>
    </row>
    <row r="94">
      <c r="A94" t="inlineStr">
        <is>
          <t>2026-10-01</t>
        </is>
      </c>
      <c r="B94" t="inlineStr">
        <is>
          <t>Trade Wars &amp; Escalations</t>
        </is>
      </c>
      <c r="C94" t="n">
        <v>120</v>
      </c>
      <c r="D94" t="n">
        <v>95</v>
      </c>
      <c r="E94" t="n">
        <v>7.816</v>
      </c>
      <c r="F94">
        <f>IF(B93=B94, IFERROR((E94-E93)/ABS(E93), "n/a"), "")</f>
        <v/>
      </c>
    </row>
    <row r="95">
      <c r="A95" t="inlineStr">
        <is>
          <t>2026-10-02</t>
        </is>
      </c>
      <c r="B95" t="inlineStr">
        <is>
          <t>Trade Wars &amp; Escalations</t>
        </is>
      </c>
      <c r="C95" t="n">
        <v>120</v>
      </c>
      <c r="D95" t="n">
        <v>95</v>
      </c>
      <c r="E95" t="n">
        <v>8.606</v>
      </c>
      <c r="F95">
        <f>IF(B94=B95, IFERROR((E95-E94)/ABS(E94), "n/a"), "")</f>
        <v/>
      </c>
    </row>
    <row r="96">
      <c r="A96" t="inlineStr">
        <is>
          <t>2026-10-03</t>
        </is>
      </c>
      <c r="B96" t="inlineStr">
        <is>
          <t>Trade Wars &amp; Escalations</t>
        </is>
      </c>
      <c r="C96" t="n">
        <v>160</v>
      </c>
      <c r="D96" t="n">
        <v>120</v>
      </c>
      <c r="E96" t="n">
        <v>8.890000000000001</v>
      </c>
      <c r="F96">
        <f>IF(B95=B96, IFERROR((E96-E95)/ABS(E95), "n/a"), "")</f>
        <v/>
      </c>
    </row>
    <row r="97">
      <c r="A97" t="inlineStr">
        <is>
          <t>2026-10-04</t>
        </is>
      </c>
      <c r="B97" t="inlineStr">
        <is>
          <t>Trade Wars &amp; Escalations</t>
        </is>
      </c>
      <c r="C97" t="n">
        <v>160</v>
      </c>
      <c r="D97" t="n">
        <v>120</v>
      </c>
      <c r="E97" t="n">
        <v>9.275</v>
      </c>
      <c r="F97">
        <f>IF(B96=B97, IFERROR((E97-E96)/ABS(E96), "n/a"), "")</f>
        <v/>
      </c>
    </row>
    <row r="98">
      <c r="A98" t="inlineStr">
        <is>
          <t>2026-10-05</t>
        </is>
      </c>
      <c r="B98" t="inlineStr">
        <is>
          <t>Trade Wars &amp; Escalations</t>
        </is>
      </c>
      <c r="C98" t="n">
        <v>80</v>
      </c>
      <c r="D98" t="n">
        <v>59</v>
      </c>
      <c r="E98" t="n">
        <v>10.021</v>
      </c>
      <c r="F98">
        <f>IF(B97=B98, IFERROR((E98-E97)/ABS(E97), "n/a"), "")</f>
        <v/>
      </c>
    </row>
    <row r="99">
      <c r="A99" t="inlineStr">
        <is>
          <t>2026-10-06</t>
        </is>
      </c>
      <c r="B99" t="inlineStr">
        <is>
          <t>Trade Wars &amp; Escalations</t>
        </is>
      </c>
      <c r="C99" t="n">
        <v>160</v>
      </c>
      <c r="D99" t="n">
        <v>118</v>
      </c>
      <c r="E99" t="n">
        <v>8.647</v>
      </c>
      <c r="F99">
        <f>IF(B98=B99, IFERROR((E99-E98)/ABS(E98), "n/a"), "")</f>
        <v/>
      </c>
    </row>
    <row r="100">
      <c r="A100" t="inlineStr">
        <is>
          <t>2026-10-07</t>
        </is>
      </c>
      <c r="B100" t="inlineStr">
        <is>
          <t>Trade Wars &amp; Escalations</t>
        </is>
      </c>
      <c r="C100" t="n">
        <v>120</v>
      </c>
      <c r="D100" t="n">
        <v>90</v>
      </c>
      <c r="E100" t="n">
        <v>8.141999999999999</v>
      </c>
      <c r="F100">
        <f>IF(B99=B100, IFERROR((E100-E99)/ABS(E99), "n/a"), "")</f>
        <v/>
      </c>
    </row>
    <row r="101">
      <c r="A101" t="inlineStr">
        <is>
          <t>2026-10-08</t>
        </is>
      </c>
      <c r="B101" t="inlineStr">
        <is>
          <t>Trade Wars &amp; Escalations</t>
        </is>
      </c>
      <c r="C101" t="n">
        <v>120</v>
      </c>
      <c r="D101" t="n">
        <v>87</v>
      </c>
      <c r="E101" t="n">
        <v>8.19</v>
      </c>
      <c r="F101">
        <f>IF(B100=B101, IFERROR((E101-E100)/ABS(E100), "n/a"), "")</f>
        <v/>
      </c>
    </row>
    <row r="102">
      <c r="A102" t="inlineStr">
        <is>
          <t>2026-10-09</t>
        </is>
      </c>
      <c r="B102" t="inlineStr">
        <is>
          <t>Trade Wars &amp; Escalations</t>
        </is>
      </c>
      <c r="C102" t="n">
        <v>120</v>
      </c>
      <c r="D102" t="n">
        <v>87</v>
      </c>
      <c r="E102" t="n">
        <v>8.778</v>
      </c>
      <c r="F102">
        <f>IF(B101=B102, IFERROR((E102-E101)/ABS(E101), "n/a"), "")</f>
        <v/>
      </c>
    </row>
    <row r="103">
      <c r="A103" t="inlineStr">
        <is>
          <t>2026-10-10</t>
        </is>
      </c>
      <c r="B103" t="inlineStr">
        <is>
          <t>Trade Wars &amp; Escalations</t>
        </is>
      </c>
      <c r="C103" t="n">
        <v>160</v>
      </c>
      <c r="D103" t="n">
        <v>116</v>
      </c>
      <c r="E103" t="n">
        <v>8.058999999999999</v>
      </c>
      <c r="F103">
        <f>IF(B102=B103, IFERROR((E103-E102)/ABS(E102), "n/a"), "")</f>
        <v/>
      </c>
    </row>
    <row r="104">
      <c r="A104" t="inlineStr">
        <is>
          <t>2026-10-11</t>
        </is>
      </c>
      <c r="B104" t="inlineStr">
        <is>
          <t>Trade Wars &amp; Escalations</t>
        </is>
      </c>
      <c r="C104" t="n">
        <v>120</v>
      </c>
      <c r="D104" t="n">
        <v>91</v>
      </c>
      <c r="E104" t="n">
        <v>8.747</v>
      </c>
      <c r="F104">
        <f>IF(B103=B104, IFERROR((E104-E103)/ABS(E103), "n/a"), "")</f>
        <v/>
      </c>
    </row>
    <row r="105">
      <c r="A105" t="inlineStr">
        <is>
          <t>2026-10-12</t>
        </is>
      </c>
      <c r="B105" t="inlineStr">
        <is>
          <t>Trade Wars &amp; Escalations</t>
        </is>
      </c>
      <c r="C105" t="n">
        <v>80</v>
      </c>
      <c r="D105" t="n">
        <v>62</v>
      </c>
      <c r="E105" t="n">
        <v>8.003</v>
      </c>
      <c r="F105">
        <f>IF(B104=B105, IFERROR((E105-E104)/ABS(E104), "n/a"), "")</f>
        <v/>
      </c>
    </row>
    <row r="106">
      <c r="A106" t="inlineStr">
        <is>
          <t>2026-10-13</t>
        </is>
      </c>
      <c r="B106" t="inlineStr">
        <is>
          <t>Trade Wars &amp; Escalations</t>
        </is>
      </c>
      <c r="C106" t="n">
        <v>160</v>
      </c>
      <c r="D106" t="n">
        <v>123</v>
      </c>
      <c r="E106" t="n">
        <v>7.382</v>
      </c>
      <c r="F106">
        <f>IF(B105=B106, IFERROR((E106-E105)/ABS(E105), "n/a"), "")</f>
        <v/>
      </c>
    </row>
    <row r="107">
      <c r="A107" t="inlineStr">
        <is>
          <t>2026-10-14</t>
        </is>
      </c>
      <c r="B107" t="inlineStr">
        <is>
          <t>Trade Wars &amp; Escalations</t>
        </is>
      </c>
      <c r="C107" t="n">
        <v>117</v>
      </c>
      <c r="D107" t="n">
        <v>92</v>
      </c>
      <c r="E107" t="n">
        <v>6.514</v>
      </c>
      <c r="F107">
        <f>IF(B106=B107, IFERROR((E107-E106)/ABS(E106), "n/a"), "")</f>
        <v/>
      </c>
    </row>
    <row r="108">
      <c r="A108" t="inlineStr">
        <is>
          <t>2026-10-15</t>
        </is>
      </c>
      <c r="B108" t="inlineStr">
        <is>
          <t>Trade Wars &amp; Escalations</t>
        </is>
      </c>
      <c r="C108" t="n">
        <v>156</v>
      </c>
      <c r="D108" t="n">
        <v>123</v>
      </c>
      <c r="E108" t="n">
        <v>6.762</v>
      </c>
      <c r="F108">
        <f>IF(B107=B108, IFERROR((E108-E107)/ABS(E107), "n/a"), "")</f>
        <v/>
      </c>
    </row>
    <row r="109">
      <c r="A109" t="inlineStr">
        <is>
          <t>2026-10-16</t>
        </is>
      </c>
      <c r="B109" t="inlineStr">
        <is>
          <t>Trade Wars &amp; Escalations</t>
        </is>
      </c>
      <c r="C109" t="n">
        <v>156</v>
      </c>
      <c r="D109" t="n">
        <v>123</v>
      </c>
      <c r="E109" t="n">
        <v>6.454</v>
      </c>
      <c r="F109">
        <f>IF(B108=B109, IFERROR((E109-E108)/ABS(E108), "n/a"), "")</f>
        <v/>
      </c>
    </row>
    <row r="110">
      <c r="A110" t="inlineStr">
        <is>
          <t>2026-10-17</t>
        </is>
      </c>
      <c r="B110" t="inlineStr">
        <is>
          <t>Trade Wars &amp; Escalations</t>
        </is>
      </c>
      <c r="C110" t="n">
        <v>156</v>
      </c>
      <c r="D110" t="n">
        <v>122</v>
      </c>
      <c r="E110" t="n">
        <v>6.044</v>
      </c>
      <c r="F110">
        <f>IF(B109=B110, IFERROR((E110-E109)/ABS(E109), "n/a"), "")</f>
        <v/>
      </c>
    </row>
    <row r="111">
      <c r="A111" t="inlineStr">
        <is>
          <t>2026-10-18</t>
        </is>
      </c>
      <c r="B111" t="inlineStr">
        <is>
          <t>Trade Wars &amp; Escalations</t>
        </is>
      </c>
      <c r="C111" t="n">
        <v>156</v>
      </c>
      <c r="D111" t="n">
        <v>119</v>
      </c>
      <c r="E111" t="n">
        <v>6.172</v>
      </c>
      <c r="F111">
        <f>IF(B110=B111, IFERROR((E111-E110)/ABS(E110), "n/a"), "")</f>
        <v/>
      </c>
    </row>
    <row r="112">
      <c r="A112" t="inlineStr">
        <is>
          <t>2026-10-19</t>
        </is>
      </c>
      <c r="B112" t="inlineStr">
        <is>
          <t>Trade Wars &amp; Escalations</t>
        </is>
      </c>
      <c r="C112" t="n">
        <v>117</v>
      </c>
      <c r="D112" t="n">
        <v>86</v>
      </c>
      <c r="E112" t="n">
        <v>7.284</v>
      </c>
      <c r="F112">
        <f>IF(B111=B112, IFERROR((E112-E111)/ABS(E111),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2026-10-20T23:09:43Z</dcterms:modified>
</cp:coreProperties>
</file>