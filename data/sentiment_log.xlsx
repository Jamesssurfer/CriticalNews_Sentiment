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82">
      <c r="A482" t="inlineStr">
        <is>
          <t>2026-10-27T14:22:23+00:00</t>
        </is>
      </c>
      <c r="B482" t="inlineStr">
        <is>
          <t>2026-10-27</t>
        </is>
      </c>
      <c r="C482" t="inlineStr">
        <is>
          <t>Middle East Oil Risk</t>
        </is>
      </c>
      <c r="D482" t="n">
        <v>47</v>
      </c>
      <c r="E482" t="n">
        <v>0.602</v>
      </c>
      <c r="F482" t="n">
        <v>-0.384</v>
      </c>
      <c r="G482" t="n">
        <v>32</v>
      </c>
      <c r="H482" t="n">
        <v>0.752</v>
      </c>
      <c r="I482" t="n">
        <v>-0.08</v>
      </c>
      <c r="J482" t="n">
        <v>17.804</v>
      </c>
      <c r="K482" t="inlineStr">
        <is>
          <t>Israel-Hezbollah clashes kill 11 as Mideast conflict escalation gathers pace after U.S.-Iran strikes - CNBC</t>
        </is>
      </c>
      <c r="L48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2" t="inlineStr">
        <is>
          <t>1 person killed in attack on eastern Saudi airport, authorities say - AP News</t>
        </is>
      </c>
      <c r="N482" t="inlineStr">
        <is>
          <t>https://news.google.com/rss/articles/CBMioAFBVV95cUxQaXo0Nk1pSDFVdkZGeEp4TGZobnBPS2FpdVlORlptNFFhWnp4SG1UQk9icEhXYTNUSzEtUXVoSEwxZUMtc0Z3cG1lQWJsS3I5TE9JLVJiRnlYTXczSkZfd2E0dFdVNDctZkR1emhpNmc5bF9SMXA2cHhwU3pPOVRkZ090MUVnLWU5NHd5TjN6NnN3S0poLThpYlpzLWFqNHdv?oc=5</t>
        </is>
      </c>
      <c r="O482" t="inlineStr">
        <is>
          <t>Four dead in Saudi Arabia’s Eastern Province after attacks on airport, oil facility - Arab News</t>
        </is>
      </c>
      <c r="P482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82" t="inlineStr">
        <is>
          <t>vader</t>
        </is>
      </c>
      <c r="R482" t="inlineStr">
        <is>
          <t>'Every day there is killing': Gazans face Israeli strikes despite ceasefire as peace deal stalls - BBC</t>
        </is>
      </c>
      <c r="S482" t="inlineStr">
        <is>
          <t>https://news.google.com/rss/articles/CBMiW0FVX3lxTE5JblU1RW0zSVh1RHFBTDM2ZkpiR2pGNWZhYUdfRjNSSmkxd3pXNlFlaF9JVElreEViN0o0VXQ3b0tTQzNIY1BuQkt6b3NNdFNUa3NZWTltV29JS0E?oc=5</t>
        </is>
      </c>
      <c r="T482" t="inlineStr">
        <is>
          <t>Iran insider warns of limited US strikes now, major war after midterms - Iran International</t>
        </is>
      </c>
      <c r="U482" t="inlineStr">
        <is>
          <t>https://news.google.com/rss/articles/CBMiUkFVX3lxTE9BM24xODU0RGRmN2xmUklMdEI2UjFkY3VoaE5TRVVUdXE0VmVUWk1KakJsREtMckVCazdoOEhwYk1JUUNnSk1MYzdHbjN4MEFxLVE?oc=5</t>
        </is>
      </c>
      <c r="V482" t="inlineStr">
        <is>
          <t>Acting Special Coordinator for the Middle East Peace Process's remarks at the Security Council on the Report of the Secretary-General on the Implementation of UNSCR 2334 [as delivered] - DPPA</t>
        </is>
      </c>
      <c r="W48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83">
      <c r="A483" t="inlineStr">
        <is>
          <t>2026-10-27T14:22:23+00:00</t>
        </is>
      </c>
      <c r="B483" t="inlineStr">
        <is>
          <t>2026-10-27</t>
        </is>
      </c>
      <c r="C483" t="inlineStr">
        <is>
          <t>Macroeconomic Interventions</t>
        </is>
      </c>
      <c r="D483" t="n">
        <v>40</v>
      </c>
      <c r="E483" t="n">
        <v>0.398</v>
      </c>
      <c r="F483" t="n">
        <v>-0.013</v>
      </c>
      <c r="G483" t="n">
        <v>32</v>
      </c>
      <c r="H483" t="n">
        <v>0.333</v>
      </c>
      <c r="I483" t="n">
        <v>0.061</v>
      </c>
      <c r="J483" t="n">
        <v>-9.300000000000001</v>
      </c>
      <c r="K483" t="inlineStr">
        <is>
          <t>Bitcoin posts surprise rally as currency nears $70,000 for the first time since June - Fortune</t>
        </is>
      </c>
      <c r="L48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3" t="inlineStr">
        <is>
          <t>Wall Street Is Preparing For An AI Catastrophe. Major Banks Discussing How to Deal With The Day After. - International Business Times</t>
        </is>
      </c>
      <c r="N483" t="inlineStr">
        <is>
          <t>https://news.google.com/rss/articles/CBMirwFBVV95cUxPVTVWSk1LOV8zM25xWVVjbF90dzJpeFJraFBZUFNKTGp4amZBd1J5WHpDSmMzUExxd04wUGdPWmRZTGtwVWlneW50OURGTEZ4ajFaUldQbXFWQ2NnckU4N0hiLVVDdnc1dnFwYnk5YU5wMGNfZ291UmY4VFNkNTlfRmVyRF80VE5XbklqMV84OW9yX1ZRbDF3ejJWdllHOUZWOXVUWVBnRXhZVU4zQmNr?oc=5</t>
        </is>
      </c>
      <c r="O483" t="inlineStr">
        <is>
          <t>UAE injects $8bn into banking system as liquidity falls - TheBanker.com</t>
        </is>
      </c>
      <c r="P48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3" t="inlineStr">
        <is>
          <t>finbert</t>
        </is>
      </c>
      <c r="R483" t="inlineStr">
        <is>
          <t>BOJ's Split Vote on Rates Marks Most Hawkish Divide of Ueda Era - Bloomberg.com</t>
        </is>
      </c>
      <c r="S48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83" t="inlineStr">
        <is>
          <t>How the Fed Usually Handles Rates Near an Election - CME Group</t>
        </is>
      </c>
      <c r="U48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3" t="inlineStr">
        <is>
          <t>Federal Reserve Interest Rate Predictions Next Week: October 27–28, 2026 - Norada Real Estate Investments</t>
        </is>
      </c>
      <c r="W483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</row>
    <row r="484">
      <c r="A484" t="inlineStr">
        <is>
          <t>2026-10-27T14:22:23+00:00</t>
        </is>
      </c>
      <c r="B484" t="inlineStr">
        <is>
          <t>2026-10-27</t>
        </is>
      </c>
      <c r="C484" t="inlineStr">
        <is>
          <t>Trade Wars &amp; Escalations</t>
        </is>
      </c>
      <c r="D484" t="n">
        <v>39</v>
      </c>
      <c r="E484" t="n">
        <v>0.476</v>
      </c>
      <c r="F484" t="n">
        <v>-0.174</v>
      </c>
      <c r="G484" t="n">
        <v>32</v>
      </c>
      <c r="H484" t="n">
        <v>0.832</v>
      </c>
      <c r="I484" t="n">
        <v>-0.063</v>
      </c>
      <c r="J484" t="n">
        <v>7.901</v>
      </c>
      <c r="K484" t="inlineStr">
        <is>
          <t>Trump escalates trade war with Canada, moving to ban imports of some motorcycles, dairy and alcohol - NBC News</t>
        </is>
      </c>
      <c r="L48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4" t="inlineStr">
        <is>
          <t>CBP program secures supply chains to better protect the border - Federal News Network</t>
        </is>
      </c>
      <c r="N48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4" t="inlineStr">
        <is>
          <t>More uncertainty for Canadian CRE as trade war heats up again - RENX</t>
        </is>
      </c>
      <c r="P484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Q484" t="inlineStr">
        <is>
          <t>vader</t>
        </is>
      </c>
      <c r="R484" t="inlineStr">
        <is>
          <t>China says it hopes to agree with the US on tariff reductions at ‘an early date’ - AP News</t>
        </is>
      </c>
      <c r="S48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84" t="inlineStr">
        <is>
          <t>How Trump and Xi went from tariff war to trade truce - Reuters</t>
        </is>
      </c>
      <c r="U484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  <c r="V484" t="inlineStr">
        <is>
          <t>Rare earths friction threatens to stall trade truce extension ahead of Xi summit - South China Morning Post</t>
        </is>
      </c>
      <c r="W484" t="inlineStr">
        <is>
          <t>https://news.google.com/rss/articles/CBMi1AFBVV95cUxQZkc0NlJxd2Jfa21fRXdVY2xveUNRQXViSzVDT2lMWGVuOHIxUUNhUUZDclEwNjBaNGpEMUVLT1BJY1NvWDhmRnVTUjNCVXhXZElBVUZjdk9JUmRlSy1vRF9RRW5VTmZLTmNCdGNPbmhUWEtGejlzN1dnUHhpLW5FYlNKbDBmWWo1SVdkT0o3U0kyQTRlTnJoMTJBbGVvMFdzenE2eGt3bDFQYTY0WGJZNmtCdG5fcndZMHI2R0NHR0FfSEVvcGhTU3JiY2x4SG9rbzJWVdIB1AFBVV95cUxPRXczQlNuYmVSZ095TERrT1hlQlVjT25ZNC1wTEFjRUhFV25YMXVFUUFqM3M2MGsyXzIyaTB5ajRPNEg1OU9WakxpOFBXdUxJNzBPSjVlXy1GdXBJMmZ0WEhLelpQN283QVVUVGxlVzRvbG9pTGRGaFBydENEeXBINnA5aWxEX2pQa0ljWGhXTTIwT3F4eUViWVRhOEpHZkFQUG9MZGlXWmxVRWhPRXRMdXhrQWtnRWlUdWJLX0ZDQ0VXVlpHYVhCQ2x6NXdnWE4zRUdHTg?oc=5</t>
        </is>
      </c>
    </row>
    <row r="485">
      <c r="A485" t="inlineStr">
        <is>
          <t>2026-10-27T20:37:18+00:00</t>
        </is>
      </c>
      <c r="B485" t="inlineStr">
        <is>
          <t>2026-10-27</t>
        </is>
      </c>
      <c r="C485" t="inlineStr">
        <is>
          <t>Middle East Oil Risk</t>
        </is>
      </c>
      <c r="D485" t="n">
        <v>46</v>
      </c>
      <c r="E485" t="n">
        <v>0.591</v>
      </c>
      <c r="F485" t="n">
        <v>-0.436</v>
      </c>
      <c r="G485" t="n">
        <v>32</v>
      </c>
      <c r="H485" t="n">
        <v>0.634</v>
      </c>
      <c r="I485" t="n">
        <v>-0.07000000000000001</v>
      </c>
      <c r="J485" t="n">
        <v>18.148</v>
      </c>
      <c r="K485" t="inlineStr">
        <is>
          <t>Israel-Hezbollah clashes kill 11 as Mideast conflict escalation gathers pace after U.S.-Iran strikes - CNBC</t>
        </is>
      </c>
      <c r="L4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5" t="inlineStr">
        <is>
          <t>Lebanon fears renewed war as Israel-Hezbollah tensions rise - アラブニュース</t>
        </is>
      </c>
      <c r="N485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85" t="inlineStr">
        <is>
          <t>Iran War Updates: U.S. Launches New Strikes, as Tensions Escalate Over Strait of Hormuz - The New York Times</t>
        </is>
      </c>
      <c r="P48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85" t="inlineStr">
        <is>
          <t>vader</t>
        </is>
      </c>
      <c r="R485" t="inlineStr">
        <is>
          <t>'Every day there is killing': Gazans face Israeli strikes despite ceasefire as peace deal stalls - BBC</t>
        </is>
      </c>
      <c r="S485" t="inlineStr">
        <is>
          <t>https://news.google.com/rss/articles/CBMiW0FVX3lxTE5JblU1RW0zSVh1RHFBTDM2ZkpiR2pGNWZhYUdfRjNSSmkxd3pXNlFlaF9JVElreEViN0o0VXQ3b0tTQzNIY1BuQkt6b3NNdFNUa3NZWTltV29JS0E?oc=5</t>
        </is>
      </c>
      <c r="T485" t="inlineStr">
        <is>
          <t>Gaza: 340 children killed despite ceasefire agreement - UNICEF - UN News</t>
        </is>
      </c>
      <c r="U485" t="inlineStr">
        <is>
          <t>https://news.google.com/rss/articles/CBMiV0FVX3lxTE94N19hcVhoa1F6QW9pZ3R2eEZBWnpJN1RHTjczS28yZFIyQ183VnI5RlBxZFk2a0tTVkszOWNXOG11dVZDZEhhd3JYUjh3dUI0Mk85eEpTNA?oc=5</t>
        </is>
      </c>
      <c r="V485" t="inlineStr">
        <is>
          <t>After months of threats by Trump, resumption of Iran war now seems inevitable - The Times of Israel</t>
        </is>
      </c>
      <c r="W485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6">
      <c r="A486" t="inlineStr">
        <is>
          <t>2026-10-27T20:37:18+00:00</t>
        </is>
      </c>
      <c r="B486" t="inlineStr">
        <is>
          <t>2026-10-27</t>
        </is>
      </c>
      <c r="C486" t="inlineStr">
        <is>
          <t>Macroeconomic Interventions</t>
        </is>
      </c>
      <c r="D486" t="n">
        <v>40</v>
      </c>
      <c r="E486" t="n">
        <v>0.418</v>
      </c>
      <c r="F486" t="n">
        <v>0.055</v>
      </c>
      <c r="G486" t="n">
        <v>32</v>
      </c>
      <c r="H486" t="n">
        <v>0.391</v>
      </c>
      <c r="I486" t="n">
        <v>-0.029</v>
      </c>
      <c r="J486" t="n">
        <v>-10.607</v>
      </c>
      <c r="K486" t="inlineStr">
        <is>
          <t>Bitcoin posts surprise rally as currency nears $70,000 for the first time since June - Yahoo Finance</t>
        </is>
      </c>
      <c r="L486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6" t="inlineStr">
        <is>
          <t>UAE injects $8bn into banking system as liquidity falls - TheBanker.com</t>
        </is>
      </c>
      <c r="N4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86" t="inlineStr">
        <is>
          <t>What the US-Japan Currency Intervention Means for the Yen, Rates, and the Dollar - Goldman Sachs</t>
        </is>
      </c>
      <c r="P48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6" t="inlineStr">
        <is>
          <t>finbert</t>
        </is>
      </c>
      <c r="R486" t="inlineStr">
        <is>
          <t>How the Fed Usually Handles Rates Near an Election - CME Group</t>
        </is>
      </c>
      <c r="S48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486" t="inlineStr">
        <is>
          <t>U.S. efforts to prop up Japanese Yen is purely to stabilize its own bond market: Economist - CNBC</t>
        </is>
      </c>
      <c r="U48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86" t="inlineStr">
        <is>
          <t>The Fed - Live Video - Federal Reserve (.gov)</t>
        </is>
      </c>
      <c r="W486" t="inlineStr">
        <is>
          <t>https://news.google.com/rss/articles/CBMiXkFVX3lxTFB5T3pvQUVqN1hPY1EyMlZwMGhvZ2diMndIelJYaG9mU2VleDFua09ad2x3SC1XUVBpYjF1Uk5lbG4wd2oyTmlLNzVKc3N0NHNwcFdQRG56XzVrMFVYTEE?oc=5</t>
        </is>
      </c>
    </row>
    <row r="487">
      <c r="A487" t="inlineStr">
        <is>
          <t>2026-10-27T20:37:18+00:00</t>
        </is>
      </c>
      <c r="B487" t="inlineStr">
        <is>
          <t>2026-10-27</t>
        </is>
      </c>
      <c r="C487" t="inlineStr">
        <is>
          <t>Trade Wars &amp; Escalations</t>
        </is>
      </c>
      <c r="D487" t="n">
        <v>40</v>
      </c>
      <c r="E487" t="n">
        <v>0.555</v>
      </c>
      <c r="F487" t="n">
        <v>-0.262</v>
      </c>
      <c r="G487" t="n">
        <v>32</v>
      </c>
      <c r="H487" t="n">
        <v>0.716</v>
      </c>
      <c r="I487" t="n">
        <v>0.007</v>
      </c>
      <c r="J487" t="n">
        <v>9.132</v>
      </c>
      <c r="K487" t="inlineStr">
        <is>
          <t>Trump escalates trade war with Canada, moving to ban imports of some motorcycles, dairy and alcohol - NBC News</t>
        </is>
      </c>
      <c r="L4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7" t="inlineStr">
        <is>
          <t>Trade War Escalation Deepens Uncertainty for Canadian Economy - Morningstar</t>
        </is>
      </c>
      <c r="N487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87" t="inlineStr">
        <is>
          <t>Canada is feeling the pain from Trump's tariffs — but the trade fight didn't start overnight - Fox News</t>
        </is>
      </c>
      <c r="P487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87" t="inlineStr">
        <is>
          <t>vader</t>
        </is>
      </c>
      <c r="R487" t="inlineStr">
        <is>
          <t>NMPF’s Gregg Doud: Managed China Trade Deal Better for Dairy Than Free Market ‘Chaos’ - Dairy Herd</t>
        </is>
      </c>
      <c r="S48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87" t="inlineStr">
        <is>
          <t>China says it hopes to agree with the US on tariff reductions at ‘an early date’ - AP News</t>
        </is>
      </c>
      <c r="U48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87" t="inlineStr">
        <is>
          <t>Opinion | The Great Trump Tariff Rollback - WSJ</t>
        </is>
      </c>
      <c r="W487" t="inlineStr">
        <is>
          <t>https://news.google.com/rss/articles/CBMikwFBVV95cUxNTlZTUXhnVmF0VW1TRy12UDNJcUg4RXdFWkVuZ2h1ZTA4elNPeENlRUNxV0Nad0lpc21WanBqaDJfbGtOaDFoTWEtZGoyQk9KQnJyTE4yUkF5SFFteWl6MDlCanJ6R1BEb050RWtETEQ1VEtzalBuYnQ3VXJjV3dDeERfV2ExbTFLemJhMzRiUWZmQ2s?oc=5</t>
        </is>
      </c>
    </row>
    <row r="488">
      <c r="A488" t="inlineStr">
        <is>
          <t>2026-10-28T05:25:50+00:00</t>
        </is>
      </c>
      <c r="B488" t="inlineStr">
        <is>
          <t>2026-10-28</t>
        </is>
      </c>
      <c r="C488" t="inlineStr">
        <is>
          <t>Middle East Oil Risk</t>
        </is>
      </c>
      <c r="D488" t="n">
        <v>46</v>
      </c>
      <c r="E488" t="n">
        <v>0.542</v>
      </c>
      <c r="F488" t="n">
        <v>-0.342</v>
      </c>
      <c r="G488" t="n">
        <v>32</v>
      </c>
      <c r="H488" t="n">
        <v>0.713</v>
      </c>
      <c r="I488" t="n">
        <v>-0.124</v>
      </c>
      <c r="J488" t="n">
        <v>16.835</v>
      </c>
      <c r="K488" t="inlineStr">
        <is>
          <t>Israel-Hezbollah clashes kill 11 as Mideast conflict escalation gathers pace after U.S.-Iran strikes - CNBC</t>
        </is>
      </c>
      <c r="L4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8" t="inlineStr">
        <is>
          <t>Oil Prices Climb as Houthi Attacks Reignite Saudi Supply Fears - Crude Oil Prices Today | OilPrice.com</t>
        </is>
      </c>
      <c r="N488" t="inlineStr">
        <is>
          <t>https://news.google.com/rss/articles/CBMiugFBVV95cUxQb0I4Y1FvYjEzSmVqN205clo4TFpnSkU4WjdnQ3VzcUhLRnRvUTluTXZrbHMtQnZkaUdZZnRFbkRCYTJCeTdwY1pCejF0UU1aNUxIbWJFbzVsdVQ4R3hGWXhRSlVJU0gtZFVicmE3cVJGdlpDcDBVR0VpcGFqdS1seFRzZFMyUmxpRDVTX1EyeGNpcVBDa19kS1VEYWtjR2YzYUdwcEJLREVwV2tRN3NHT1ctTFJQRVV1d2fSAb8BQVVfeXFMTlJpYmRqako1bTB2MnRZZkNCdl84Vm80ZDZ5WVNwdXZ2YU1Kbm9nVUgyT2dOREpfX0F1NGRnRXNtMU9ld0Z1QU40TVlyTzdHVHJQUkpIaVBpSjNCZHMwSGZ3ZjZYRFdPTVNNSlhhY1lCZmk4Z1F0RWYwTnNIdkl5aGRCOWF2WUN1Rmh2M0ctN0F5aWMtcGhWZ1lqMHNUeE5rb3J0LUNzSGVFOFdjZWkwVk5kMDhyaWlMLU1uZTRtRTQ?oc=5</t>
        </is>
      </c>
      <c r="O488" t="inlineStr">
        <is>
          <t>Lebanon fears renewed war as Israel-Hezbollah tensions rise - アラブニュース</t>
        </is>
      </c>
      <c r="P488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88" t="inlineStr">
        <is>
          <t>vader</t>
        </is>
      </c>
      <c r="R488" t="inlineStr">
        <is>
          <t>Iran insider warns of limited US strikes now, major war after midterms - Iran International</t>
        </is>
      </c>
      <c r="S488" t="inlineStr">
        <is>
          <t>https://news.google.com/rss/articles/CBMiUkFVX3lxTE9BM24xODU0RGRmN2xmUklMdEI2UjFkY3VoaE5TRVVUdXE0VmVUWk1KakJsREtMckVCazdoOEhwYk1JUUNnSk1MYzdHbjN4MEFxLVE?oc=5</t>
        </is>
      </c>
      <c r="T488" t="inlineStr">
        <is>
          <t>Gaza: 340 children killed despite ceasefire agreement - UNICEF - UN News</t>
        </is>
      </c>
      <c r="U488" t="inlineStr">
        <is>
          <t>https://news.google.com/rss/articles/CBMiV0FVX3lxTE94N19hcVhoa1F6QW9pZ3R2eEZBWnpJN1RHTjczS28yZFIyQ183VnI5RlBxZFk2a0tTVkszOWNXOG11dVZDZEhhd3JYUjh3dUI0Mk85eEpTNA?oc=5</t>
        </is>
      </c>
      <c r="V488" t="inlineStr">
        <is>
          <t>After months of threats by Trump, resumption of Iran war now seems inevitable - The Times of Israel</t>
        </is>
      </c>
      <c r="W488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9">
      <c r="A489" t="inlineStr">
        <is>
          <t>2026-10-28T05:25:50+00:00</t>
        </is>
      </c>
      <c r="B489" t="inlineStr">
        <is>
          <t>2026-10-28</t>
        </is>
      </c>
      <c r="C489" t="inlineStr">
        <is>
          <t>Macroeconomic Interventions</t>
        </is>
      </c>
      <c r="D489" t="n">
        <v>40</v>
      </c>
      <c r="E489" t="n">
        <v>0.441</v>
      </c>
      <c r="F489" t="n">
        <v>0.007</v>
      </c>
      <c r="G489" t="n">
        <v>32</v>
      </c>
      <c r="H489" t="n">
        <v>0.374</v>
      </c>
      <c r="I489" t="n">
        <v>0.022</v>
      </c>
      <c r="J489" t="n">
        <v>-10.804</v>
      </c>
      <c r="K489" t="inlineStr">
        <is>
          <t>Bitcoin posts surprise rally as currency nears $70,000 for the first time since June - Yahoo Finance</t>
        </is>
      </c>
      <c r="L489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9" t="inlineStr">
        <is>
          <t>RBI's ₹2.5 trillion liquidity infusion sends mixed signals: SBI Research - Business Standard</t>
        </is>
      </c>
      <c r="N489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89" t="inlineStr">
        <is>
          <t>What the US-Japan Currency Intervention Means for the Yen, Rates, and the Dollar - Goldman Sachs</t>
        </is>
      </c>
      <c r="P48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9" t="inlineStr">
        <is>
          <t>finbert</t>
        </is>
      </c>
      <c r="R489" t="inlineStr">
        <is>
          <t>USD/JPY outlook: BOJ holds steady as intervention risk builds - FOREX.com</t>
        </is>
      </c>
      <c r="S48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T489" t="inlineStr">
        <is>
          <t>US Futures Rising as Bond Market Looks to Be Stabilizing - The Well News</t>
        </is>
      </c>
      <c r="U4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489" t="inlineStr">
        <is>
          <t>Federal Funds Rate History 1990 to 2026 - Forbes</t>
        </is>
      </c>
      <c r="W48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90">
      <c r="A490" t="inlineStr">
        <is>
          <t>2026-10-28T05:25:50+00:00</t>
        </is>
      </c>
      <c r="B490" t="inlineStr">
        <is>
          <t>2026-10-28</t>
        </is>
      </c>
      <c r="C490" t="inlineStr">
        <is>
          <t>Trade Wars &amp; Escalations</t>
        </is>
      </c>
      <c r="D490" t="n">
        <v>40</v>
      </c>
      <c r="E490" t="n">
        <v>0.583</v>
      </c>
      <c r="F490" t="n">
        <v>-0.204</v>
      </c>
      <c r="G490" t="n">
        <v>32</v>
      </c>
      <c r="H490" t="n">
        <v>0.6879999999999999</v>
      </c>
      <c r="I490" t="n">
        <v>0.044</v>
      </c>
      <c r="J490" t="n">
        <v>7.376</v>
      </c>
      <c r="K490" t="inlineStr">
        <is>
          <t>More uncertainty for Canadian CRE as trade war heats up again - RENX</t>
        </is>
      </c>
      <c r="L490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M490" t="inlineStr">
        <is>
          <t>Tariff War or Poll Meddling? Why the US Is Accusing Canada Ahead of the Midterms - Open Magazine</t>
        </is>
      </c>
      <c r="N49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90" t="inlineStr">
        <is>
          <t>Canada is feeling the pain from Trump's tariffs — but the trade fight didn't start overnight - Fox News</t>
        </is>
      </c>
      <c r="P490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90" t="inlineStr">
        <is>
          <t>vader</t>
        </is>
      </c>
      <c r="R490" t="inlineStr">
        <is>
          <t>The Trump-Modi Trade Deal Won’t Magically Restore U.S.-India Trust - Carnegie Endowment for International Peace</t>
        </is>
      </c>
      <c r="S490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0" t="inlineStr">
        <is>
          <t>BD Wins Tariff Relief Through Manufacturing Pact - Medical Device and Diagnostic industry</t>
        </is>
      </c>
      <c r="U49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0" t="inlineStr">
        <is>
          <t>NMPF’s Gregg Doud: Managed China Trade Deal Better for Dairy Than Free Market ‘Chaos’ - Dairy Herd</t>
        </is>
      </c>
      <c r="W49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91">
      <c r="A491" t="inlineStr">
        <is>
          <t>2026-10-28T15:03:09+00:00</t>
        </is>
      </c>
      <c r="B491" t="inlineStr">
        <is>
          <t>2026-10-28</t>
        </is>
      </c>
      <c r="C491" t="inlineStr">
        <is>
          <t>Middle East Oil Risk</t>
        </is>
      </c>
      <c r="D491" t="n">
        <v>46</v>
      </c>
      <c r="E491" t="n">
        <v>0.575</v>
      </c>
      <c r="F491" t="n">
        <v>-0.357</v>
      </c>
      <c r="G491" t="n">
        <v>32</v>
      </c>
      <c r="H491" t="n">
        <v>0.6830000000000001</v>
      </c>
      <c r="I491" t="n">
        <v>-0.059</v>
      </c>
      <c r="J491" t="n">
        <v>16.156</v>
      </c>
      <c r="K491" t="inlineStr">
        <is>
          <t>Israel-Hezbollah clashes kill 11 as Mideast conflict escalation gathers pace after U.S.-Iran strikes - CNBC</t>
        </is>
      </c>
      <c r="L4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1" t="inlineStr">
        <is>
          <t>Lebanon fears renewed war as Israel-Hezbollah tensions rise - アラブニュース</t>
        </is>
      </c>
      <c r="N49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1" t="inlineStr">
        <is>
          <t>Iran War Updates: U.S. Launches New Strikes, as Tensions Escalate Over Strait of Hormuz - The New York Times</t>
        </is>
      </c>
      <c r="P491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1" t="inlineStr">
        <is>
          <t>vader</t>
        </is>
      </c>
      <c r="R491" t="inlineStr">
        <is>
          <t>Gaza: 340 children killed despite ceasefire agreement - UNICEF - UN News</t>
        </is>
      </c>
      <c r="S491" t="inlineStr">
        <is>
          <t>https://news.google.com/rss/articles/CBMiV0FVX3lxTE94N19hcVhoa1F6QW9pZ3R2eEZBWnpJN1RHTjczS28yZFIyQ183VnI5RlBxZFk2a0tTVkszOWNXOG11dVZDZEhhd3JYUjh3dUI0Mk85eEpTNA?oc=5</t>
        </is>
      </c>
      <c r="T491" t="inlineStr">
        <is>
          <t>Iran says no military solution to war as peace talks with US stall - France 24</t>
        </is>
      </c>
      <c r="U491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1" t="inlineStr">
        <is>
          <t>Iran Update, October 26, 2026 - Critical Threats</t>
        </is>
      </c>
      <c r="W491" t="inlineStr">
        <is>
          <t>https://news.google.com/rss/articles/CBMid0FVX3lxTE0xZVA5enZlZnFjaUFQNm5nUnl6aHBZV1g3ZGpudzB2eDEyZGxXSDNNcmtlV1RqUnJnZEdBczRIMHpQSmo0ZVUxZEttbkxZSmlGZ2JDaTEwM056ZlJ3SV82Z0VrQmI2YXpKM3ZJSGRqR2hWQ0NRUTN3?oc=5</t>
        </is>
      </c>
    </row>
    <row r="492">
      <c r="A492" t="inlineStr">
        <is>
          <t>2026-10-28T15:03:09+00:00</t>
        </is>
      </c>
      <c r="B492" t="inlineStr">
        <is>
          <t>2026-10-28</t>
        </is>
      </c>
      <c r="C492" t="inlineStr">
        <is>
          <t>Macroeconomic Interventions</t>
        </is>
      </c>
      <c r="D492" t="n">
        <v>40</v>
      </c>
      <c r="E492" t="n">
        <v>0.467</v>
      </c>
      <c r="F492" t="n">
        <v>0.043</v>
      </c>
      <c r="G492" t="n">
        <v>32</v>
      </c>
      <c r="H492" t="n">
        <v>0.178</v>
      </c>
      <c r="I492" t="n">
        <v>0.099</v>
      </c>
      <c r="J492" t="n">
        <v>-8.189</v>
      </c>
      <c r="K492" t="inlineStr">
        <is>
          <t>Bitcoin posts surprise rally as currency nears $70,000 for the first time since June - Yahoo Finance</t>
        </is>
      </c>
      <c r="L492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2" t="inlineStr">
        <is>
          <t>UAE injects $8bn into banking system as liquidity falls - TheBanker.com</t>
        </is>
      </c>
      <c r="N49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92" t="inlineStr">
        <is>
          <t>What the US-Japan Currency Intervention Means for the Yen, Rates, and the Dollar - Goldman Sachs</t>
        </is>
      </c>
      <c r="P49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2" t="inlineStr">
        <is>
          <t>finbert</t>
        </is>
      </c>
      <c r="R492" t="inlineStr">
        <is>
          <t>Strong job gains signal Fed hike as Trump levels new rate-cut demand - Reuters</t>
        </is>
      </c>
      <c r="S49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2" t="inlineStr">
        <is>
          <t>What the Fed's interest rate decision means for your bank accounts, loans, credit cards, and investments - Yahoo Finance</t>
        </is>
      </c>
      <c r="U492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2" t="inlineStr">
        <is>
          <t>Treasury yields fall on housing data. - CME Group</t>
        </is>
      </c>
      <c r="W492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3">
      <c r="A493" t="inlineStr">
        <is>
          <t>2026-10-28T15:03:09+00:00</t>
        </is>
      </c>
      <c r="B493" t="inlineStr">
        <is>
          <t>2026-10-28</t>
        </is>
      </c>
      <c r="C493" t="inlineStr">
        <is>
          <t>Trade Wars &amp; Escalations</t>
        </is>
      </c>
      <c r="D493" t="n">
        <v>39</v>
      </c>
      <c r="E493" t="n">
        <v>0.492</v>
      </c>
      <c r="F493" t="n">
        <v>-0.135</v>
      </c>
      <c r="G493" t="n">
        <v>32</v>
      </c>
      <c r="H493" t="n">
        <v>0.791</v>
      </c>
      <c r="I493" t="n">
        <v>0.042</v>
      </c>
      <c r="J493" t="n">
        <v>5.468</v>
      </c>
      <c r="K493" t="inlineStr">
        <is>
          <t>Canada is feeling the pain from Trump's tariffs — but the trade fight didn't start overnight - Fox News</t>
        </is>
      </c>
      <c r="L493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M493" t="inlineStr">
        <is>
          <t>How the trade war with Canada is hitting US states—and could sway midterm elections - Atlantic Council</t>
        </is>
      </c>
      <c r="N49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93" t="inlineStr">
        <is>
          <t>Trade war with Canada could end ‘pretty soon,’ Trump says during rally - Global News</t>
        </is>
      </c>
      <c r="P493" t="inlineStr">
        <is>
          <t>https://news.google.com/rss/articles/CBMibkFVX3lxTE5idFphbVNWdGc2RC1kVDBlcndNcnpBYnk0eWF2ZEIzVl9odzJhbkh0YWVjYk1xajZPVGNiRjZKYkFPaVhFdi1IT1VUOGJ1VFhiNWxwbC1MVTNYTERLRWZKSFZpUkpjYTNHRkdTVVJB?oc=5</t>
        </is>
      </c>
      <c r="Q493" t="inlineStr">
        <is>
          <t>vader</t>
        </is>
      </c>
      <c r="R493" t="inlineStr">
        <is>
          <t>The Trump-Modi Trade Deal Won’t Magically Restore U.S.-India Trust - Carnegie Endowment for International Peace</t>
        </is>
      </c>
      <c r="S493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3" t="inlineStr">
        <is>
          <t>BD Wins Tariff Relief Through Manufacturing Pact - Medical Device and Diagnostic industry</t>
        </is>
      </c>
      <c r="U49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3" t="inlineStr">
        <is>
          <t>China says it hopes to agree with the US on tariff reductions at ‘an early date’ - AP News</t>
        </is>
      </c>
      <c r="W49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94">
      <c r="A494" t="inlineStr">
        <is>
          <t>2026-10-28T20:58:12+00:00</t>
        </is>
      </c>
      <c r="B494" t="inlineStr">
        <is>
          <t>2026-10-28</t>
        </is>
      </c>
      <c r="C494" t="inlineStr">
        <is>
          <t>Middle East Oil Risk</t>
        </is>
      </c>
      <c r="D494" t="n">
        <v>46</v>
      </c>
      <c r="E494" t="n">
        <v>0.632</v>
      </c>
      <c r="F494" t="n">
        <v>-0.335</v>
      </c>
      <c r="G494" t="n">
        <v>32</v>
      </c>
      <c r="H494" t="n">
        <v>0.761</v>
      </c>
      <c r="I494" t="n">
        <v>-0.068</v>
      </c>
      <c r="J494" t="n">
        <v>15.793</v>
      </c>
      <c r="K494" t="inlineStr">
        <is>
          <t>Israel-Hezbollah clashes kill 11 as Mideast conflict escalation gathers pace after U.S.-Iran strikes - CNBC</t>
        </is>
      </c>
      <c r="L4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4" t="inlineStr">
        <is>
          <t>Lebanon fears renewed war as Israel-Hezbollah tensions rise - アラブニュース</t>
        </is>
      </c>
      <c r="N49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4" t="inlineStr">
        <is>
          <t>Iran War Updates: U.S. Launches New Strikes, as Tensions Escalate Over Strait of Hormuz - The New York Times</t>
        </is>
      </c>
      <c r="P494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4" t="inlineStr">
        <is>
          <t>vader</t>
        </is>
      </c>
      <c r="R494" t="inlineStr">
        <is>
          <t>Gaza: 340 children killed despite ceasefire agreement - UNICEF - UN News</t>
        </is>
      </c>
      <c r="S494" t="inlineStr">
        <is>
          <t>https://news.google.com/rss/articles/CBMiV0FVX3lxTE94N19hcVhoa1F6QW9pZ3R2eEZBWnpJN1RHTjczS28yZFIyQ183VnI5RlBxZFk2a0tTVkszOWNXOG11dVZDZEhhd3JYUjh3dUI0Mk85eEpTNA?oc=5</t>
        </is>
      </c>
      <c r="T494" t="inlineStr">
        <is>
          <t>Iran says no military solution to war as peace talks with US stall - France 24</t>
        </is>
      </c>
      <c r="U494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4" t="inlineStr">
        <is>
          <t>Exclusive | Vance Reaches Out to Iranian Hard-Liner in Bid to Restart Peace Talks - WSJ</t>
        </is>
      </c>
      <c r="W494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495">
      <c r="A495" t="inlineStr">
        <is>
          <t>2026-10-28T20:58:12+00:00</t>
        </is>
      </c>
      <c r="B495" t="inlineStr">
        <is>
          <t>2026-10-28</t>
        </is>
      </c>
      <c r="C495" t="inlineStr">
        <is>
          <t>Macroeconomic Interventions</t>
        </is>
      </c>
      <c r="D495" t="n">
        <v>40</v>
      </c>
      <c r="E495" t="n">
        <v>0.424</v>
      </c>
      <c r="F495" t="n">
        <v>0.082</v>
      </c>
      <c r="G495" t="n">
        <v>32</v>
      </c>
      <c r="H495" t="n">
        <v>0.166</v>
      </c>
      <c r="I495" t="n">
        <v>0.057</v>
      </c>
      <c r="J495" t="n">
        <v>-7.146</v>
      </c>
      <c r="K495" t="inlineStr">
        <is>
          <t>Bitcoin posts surprise rally as currency nears $70,000 for the first time since June - Yahoo Finance</t>
        </is>
      </c>
      <c r="L495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5" t="inlineStr">
        <is>
          <t>RBI's ₹2.5 trillion liquidity infusion sends mixed signals: SBI Research - Business Standard</t>
        </is>
      </c>
      <c r="N495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5" t="inlineStr">
        <is>
          <t>What the US-Japan Currency Intervention Means for the Yen, Rates, and the Dollar - Goldman Sachs</t>
        </is>
      </c>
      <c r="P49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5" t="inlineStr">
        <is>
          <t>finbert</t>
        </is>
      </c>
      <c r="R495" t="inlineStr">
        <is>
          <t>Strong job gains signal Fed hike as Trump levels new rate-cut demand - Reuters</t>
        </is>
      </c>
      <c r="S49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5" t="inlineStr">
        <is>
          <t>What the Fed's interest rate decision means for your bank accounts, loans, credit cards, and investments - Yahoo Finance</t>
        </is>
      </c>
      <c r="U495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5" t="inlineStr">
        <is>
          <t>Treasury yields fall on housing data. - CME Group</t>
        </is>
      </c>
      <c r="W495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6">
      <c r="A496" t="inlineStr">
        <is>
          <t>2026-10-28T20:58:12+00:00</t>
        </is>
      </c>
      <c r="B496" t="inlineStr">
        <is>
          <t>2026-10-28</t>
        </is>
      </c>
      <c r="C496" t="inlineStr">
        <is>
          <t>Trade Wars &amp; Escalations</t>
        </is>
      </c>
      <c r="D496" t="n">
        <v>40</v>
      </c>
      <c r="E496" t="n">
        <v>0.643</v>
      </c>
      <c r="F496" t="n">
        <v>-0.147</v>
      </c>
      <c r="G496" t="n">
        <v>32</v>
      </c>
      <c r="H496" t="n">
        <v>0.696</v>
      </c>
      <c r="I496" t="n">
        <v>-0.023</v>
      </c>
      <c r="J496" t="n">
        <v>7.304</v>
      </c>
      <c r="K496" t="inlineStr">
        <is>
          <t>Trump escalates trade war with Canada, moving to ban imports of some motorcycles, dairy and alcohol - NBC News</t>
        </is>
      </c>
      <c r="L49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6" t="inlineStr">
        <is>
          <t>CBP program secures supply chains to better protect the border - Federal News Network</t>
        </is>
      </c>
      <c r="N49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96" t="inlineStr">
        <is>
          <t>Trade War Escalation Deepens Uncertainty for Canadian Economy - Morningstar</t>
        </is>
      </c>
      <c r="P496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96" t="inlineStr">
        <is>
          <t>vader</t>
        </is>
      </c>
      <c r="R496" t="inlineStr">
        <is>
          <t>NMPF’s Gregg Doud: Managed China Trade Deal Better for Dairy Than Free Market ‘Chaos’ - Dairy Herd</t>
        </is>
      </c>
      <c r="S49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96" t="inlineStr">
        <is>
          <t>China says it hopes to agree with the US on tariff reductions at ‘an early date’ - AP News</t>
        </is>
      </c>
      <c r="U49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6" t="inlineStr">
        <is>
          <t>EU’s China trade breakthrough risks taking pressure off Beijing - Euronews.com</t>
        </is>
      </c>
      <c r="W496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97">
      <c r="A497" t="inlineStr">
        <is>
          <t>2026-10-29T05:35:18+00:00</t>
        </is>
      </c>
      <c r="B497" t="inlineStr">
        <is>
          <t>2026-10-29</t>
        </is>
      </c>
      <c r="C497" t="inlineStr">
        <is>
          <t>Middle East Oil Risk</t>
        </is>
      </c>
      <c r="D497" t="n">
        <v>47</v>
      </c>
      <c r="E497" t="n">
        <v>0.594</v>
      </c>
      <c r="F497" t="n">
        <v>-0.412</v>
      </c>
      <c r="G497" t="n">
        <v>31</v>
      </c>
      <c r="H497" t="n">
        <v>0.88</v>
      </c>
      <c r="I497" t="n">
        <v>0.02</v>
      </c>
      <c r="J497" t="n">
        <v>17.378</v>
      </c>
      <c r="K497" t="inlineStr">
        <is>
          <t>Israel-Hezbollah clashes kill 11 as Mideast conflict escalation gathers pace after U.S.-Iran strikes - CNBC</t>
        </is>
      </c>
      <c r="L4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7" t="inlineStr">
        <is>
          <t>Lebanon fears renewed war as Israel-Hezbollah tensions rise - アラブニュース</t>
        </is>
      </c>
      <c r="N49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7" t="inlineStr">
        <is>
          <t>Iran War Updates: U.S. Launches New Strikes, as Tensions Escalate Over Strait of Hormuz - The New York Times</t>
        </is>
      </c>
      <c r="P49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7" t="inlineStr">
        <is>
          <t>vader</t>
        </is>
      </c>
      <c r="R497" t="inlineStr">
        <is>
          <t>Vance Proposes Restarting Peace Talks in Outreach to Iranian Official - The New York Times</t>
        </is>
      </c>
      <c r="S497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T497" t="inlineStr">
        <is>
          <t>Trump warns Iran will be hit 'really hard' if nuclear negotiations collapse again - Fox News</t>
        </is>
      </c>
      <c r="U497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  <c r="V497" t="inlineStr">
        <is>
          <t>Honour Commitments First, Talk Nuclear Deal Later: Iran To US As Mecca Pact Allies Seek De-Escalation - News18</t>
        </is>
      </c>
      <c r="W497" t="inlineStr">
        <is>
          <t>https://news.google.com/rss/articles/CBMi4AFBVV95cUxOaHlpNVFRSjk1eFlaN1FLUlFxNzkyWlk5V0huTlUtcXJyVGs4MHpBRHpERjZHZUR5NmFrQmE4MjduV2IxbW55eWQ0ZTNfamhqQkhhcmloVEtPWWxDbUNfNG1wa3E1U1VGOEdrcThMelFyMHBZR05hRDRWUWJLQ0FhQVFSeHVKRUJhX2xsWEtpTzlwY242R3U4S1dTOUZsV0hsMVo4SFp3bEhfNVU5SzZVZHFjdTF6QWxXRVlUcXk3UmlSNXlBWmFtZUJUZnppaV9nNnBEc2E5ZHMzY3VnTzFtTNIB5gFBVV95cUxQWEZpLU1jNXpISmI4NWlfbnVBbmdnXzhmZGYtWDVGRHREeDZYSHFQV0pndGN6Wjk0SEgwNmV4bHhvcTlYeVp3Mk9tWjlVZEpoeGRZSHZiTDUyT3ZTX3dqNkZwNkZxWnFQclozR0xTM0dxSFlLVk1ZV2k0cHM2UENOYlk5bVA4bGl0UkFta3o4WklrSWhvTEhieVVST3ZkeFJOZGNnLVYzNmgwVEpnZHQ0Ull6RDZ0RFVUZU1tSHU2QU5yWHpsWjRpVFdmZWpFaUR1WTVKLWFVSTh0aUFUNUtrYWptS3hjZw?oc=5</t>
        </is>
      </c>
    </row>
    <row r="498">
      <c r="A498" t="inlineStr">
        <is>
          <t>2026-10-29T05:35:18+00:00</t>
        </is>
      </c>
      <c r="B498" t="inlineStr">
        <is>
          <t>2026-10-29</t>
        </is>
      </c>
      <c r="C498" t="inlineStr">
        <is>
          <t>Macroeconomic Interventions</t>
        </is>
      </c>
      <c r="D498" t="n">
        <v>40</v>
      </c>
      <c r="E498" t="n">
        <v>0.509</v>
      </c>
      <c r="F498" t="n">
        <v>0.037</v>
      </c>
      <c r="G498" t="n">
        <v>32</v>
      </c>
      <c r="H498" t="n">
        <v>0.4</v>
      </c>
      <c r="I498" t="n">
        <v>0.016</v>
      </c>
      <c r="J498" t="n">
        <v>-12.595</v>
      </c>
      <c r="K498" t="inlineStr">
        <is>
          <t>Bitcoin posts surprise rally as currency nears $70,000 for the first time since June - Yahoo Finance</t>
        </is>
      </c>
      <c r="L498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8" t="inlineStr">
        <is>
          <t>RBI's ₹2.5 trillion liquidity infusion sends mixed signals: SBI Research - Business Standard</t>
        </is>
      </c>
      <c r="N49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8" t="inlineStr">
        <is>
          <t>What the US-Japan Currency Intervention Means for the Yen, Rates, and the Dollar - Goldman Sachs</t>
        </is>
      </c>
      <c r="P498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8" t="inlineStr">
        <is>
          <t>finbert</t>
        </is>
      </c>
      <c r="R498" t="inlineStr">
        <is>
          <t>Strong job gains signal Fed hike as Trump levels new rate-cut demand - Reuters</t>
        </is>
      </c>
      <c r="S49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8" t="inlineStr">
        <is>
          <t>What the Fed's interest rate decision means for your bank accounts, loans, credit cards, and investments - Yahoo Finance</t>
        </is>
      </c>
      <c r="U498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8" t="inlineStr">
        <is>
          <t>Treasury yields fall on housing data. - CME Group</t>
        </is>
      </c>
      <c r="W498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9">
      <c r="A499" t="inlineStr">
        <is>
          <t>2026-10-29T05:35:18+00:00</t>
        </is>
      </c>
      <c r="B499" t="inlineStr">
        <is>
          <t>2026-10-29</t>
        </is>
      </c>
      <c r="C499" t="inlineStr">
        <is>
          <t>Trade Wars &amp; Escalations</t>
        </is>
      </c>
      <c r="D499" t="n">
        <v>40</v>
      </c>
      <c r="E499" t="n">
        <v>0.5629999999999999</v>
      </c>
      <c r="F499" t="n">
        <v>-0.167</v>
      </c>
      <c r="G499" t="n">
        <v>32</v>
      </c>
      <c r="H499" t="n">
        <v>0.724</v>
      </c>
      <c r="I499" t="n">
        <v>0.03</v>
      </c>
      <c r="J499" t="n">
        <v>6.859</v>
      </c>
      <c r="K499" t="inlineStr">
        <is>
          <t>Trump escalates trade war with Canada, moving to ban imports of some motorcycles, dairy and alcohol - NBC News</t>
        </is>
      </c>
      <c r="L49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9" t="inlineStr">
        <is>
          <t>Trade war with Canada could end ‘pretty soon,’ Trump says during rally - Global News</t>
        </is>
      </c>
      <c r="N499" t="inlineStr">
        <is>
          <t>https://news.google.com/rss/articles/CBMibkFVX3lxTE5idFphbVNWdGc2RC1kVDBlcndNcnpBYnk0eWF2ZEIzVl9odzJhbkh0YWVjYk1xajZPVGNiRjZKYkFPaVhFdi1IT1VUOGJ1VFhiNWxwbC1MVTNYTERLRWZKSFZpUkpjYTNHRkdTVVJB?oc=5</t>
        </is>
      </c>
      <c r="O499" t="inlineStr">
        <is>
          <t>Washing away the US: Tariff evasion on the other side of the US–China trade war - CEPR</t>
        </is>
      </c>
      <c r="P499" t="inlineStr">
        <is>
          <t>https://news.google.com/rss/articles/CBMilgFBVV95cUxNdXFOOE9ybUFrVGNraFdvaWNEdDM1YXlVdU1xTVNFdW1aTUVlYkNyeUtoRGJVNXJkeUF3WXE4Y3c0ZVJsTldybDA4UFEydDdEcUN0TnBlTHVJcnhDb1ZPSTBMcFBLSU5fdERrRlNONEx4bUItMEZiaVRLMzBmbnFBLVRLTTR4MlZzNFl2UE1IMlc0VURjeUE?oc=5</t>
        </is>
      </c>
      <c r="Q499" t="inlineStr">
        <is>
          <t>vader</t>
        </is>
      </c>
      <c r="R499" t="inlineStr">
        <is>
          <t>BD Wins Tariff Relief Through Manufacturing Pact - Medical Device and Diagnostic industry</t>
        </is>
      </c>
      <c r="S49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99" t="inlineStr">
        <is>
          <t>China says it hopes to agree with the US on tariff reductions at ‘an early date’ - AP News</t>
        </is>
      </c>
      <c r="U49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9" t="inlineStr">
        <is>
          <t>US, China agree to extend trade truce by two months, work on bigger deal, Bessent says - Reuters</t>
        </is>
      </c>
      <c r="W499" t="inlineStr">
        <is>
          <t>https://news.google.com/rss/articles/CBMizgFBVV95cUxNTnhVVmVJN29ISDRHWjZ5eW5ON2VoSnJvM1plbXoyUTdxX1lNUzRxVmJMMTR1dHlRVzJEVmoyMm9UeDdXZjdPOWs2VmhsZjNrRV8ydXFLcFJsWXUxeG5YWjFQVVNoZ1pFV1B0TTdPWVBTdTRfcl83dTVvQ2VNSkpjcW5MZnZOTV9KeWRXNS1zV0JsNUVTMXpuU2dDdXN6YmxVWWVhTVNUdWpxSnNYaV9UQzEyU2VTWGFfNUNxM2g4NFo4emtJTk5VVnhYSFVHZ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2026-10-27</t>
        </is>
      </c>
      <c r="B46" t="inlineStr">
        <is>
          <t>Macroeconomic Interventions</t>
        </is>
      </c>
      <c r="C46" t="n">
        <v>120</v>
      </c>
      <c r="D46" t="n">
        <v>96</v>
      </c>
      <c r="E46" t="n">
        <v>-9.944000000000001</v>
      </c>
      <c r="F46">
        <f>IF(B45=B46, IFERROR((E46-E45)/ABS(E45), "n/a"), "")</f>
        <v/>
      </c>
    </row>
    <row r="47">
      <c r="A47" t="inlineStr">
        <is>
          <t>2026-10-28</t>
        </is>
      </c>
      <c r="B47" t="inlineStr">
        <is>
          <t>Macroeconomic Interventions</t>
        </is>
      </c>
      <c r="C47" t="n">
        <v>120</v>
      </c>
      <c r="D47" t="n">
        <v>96</v>
      </c>
      <c r="E47" t="n">
        <v>-8.712999999999999</v>
      </c>
      <c r="F47">
        <f>IF(B46=B47, IFERROR((E47-E46)/ABS(E46), "n/a"), "")</f>
        <v/>
      </c>
    </row>
    <row r="48">
      <c r="A48" t="inlineStr">
        <is>
          <t>2026-09-13</t>
        </is>
      </c>
      <c r="B48" t="inlineStr">
        <is>
          <t>Middle East Oil Risk</t>
        </is>
      </c>
      <c r="C48" t="n">
        <v>234</v>
      </c>
      <c r="D48" t="n">
        <v>155</v>
      </c>
      <c r="E48" t="n">
        <v>7.073</v>
      </c>
      <c r="F48">
        <f>IF(B47=B48, IFERROR((E48-E47)/ABS(E47), "n/a"), "")</f>
        <v/>
      </c>
    </row>
    <row r="49">
      <c r="A49" t="inlineStr">
        <is>
          <t>2026-09-14</t>
        </is>
      </c>
      <c r="B49" t="inlineStr">
        <is>
          <t>Middle East Oil Risk</t>
        </is>
      </c>
      <c r="C49" t="n">
        <v>137</v>
      </c>
      <c r="D49" t="n">
        <v>96</v>
      </c>
      <c r="E49" t="n">
        <v>21.06</v>
      </c>
      <c r="F49">
        <f>IF(B48=B49, IFERROR((E49-E48)/ABS(E48), "n/a"), "")</f>
        <v/>
      </c>
    </row>
    <row r="50">
      <c r="A50" t="inlineStr">
        <is>
          <t>2026-09-15</t>
        </is>
      </c>
      <c r="B50" t="inlineStr">
        <is>
          <t>Middle East Oil Risk</t>
        </is>
      </c>
      <c r="C50" t="n">
        <v>186</v>
      </c>
      <c r="D50" t="n">
        <v>120</v>
      </c>
      <c r="E50" t="n">
        <v>22.642</v>
      </c>
      <c r="F50">
        <f>IF(B49=B50, IFERROR((E50-E49)/ABS(E49), "n/a"), "")</f>
        <v/>
      </c>
    </row>
    <row r="51">
      <c r="A51" t="inlineStr">
        <is>
          <t>2026-09-16</t>
        </is>
      </c>
      <c r="B51" t="inlineStr">
        <is>
          <t>Middle East Oil Risk</t>
        </is>
      </c>
      <c r="C51" t="n">
        <v>190</v>
      </c>
      <c r="D51" t="n">
        <v>128</v>
      </c>
      <c r="E51" t="n">
        <v>20.494</v>
      </c>
      <c r="F51">
        <f>IF(B50=B51, IFERROR((E51-E50)/ABS(E50), "n/a"), "")</f>
        <v/>
      </c>
    </row>
    <row r="52">
      <c r="A52" t="inlineStr">
        <is>
          <t>2026-09-17</t>
        </is>
      </c>
      <c r="B52" t="inlineStr">
        <is>
          <t>Middle East Oil Risk</t>
        </is>
      </c>
      <c r="C52" t="n">
        <v>192</v>
      </c>
      <c r="D52" t="n">
        <v>128</v>
      </c>
      <c r="E52" t="n">
        <v>20.948</v>
      </c>
      <c r="F52">
        <f>IF(B51=B52, IFERROR((E52-E51)/ABS(E51), "n/a"), "")</f>
        <v/>
      </c>
    </row>
    <row r="53">
      <c r="A53" t="inlineStr">
        <is>
          <t>2026-09-18</t>
        </is>
      </c>
      <c r="B53" t="inlineStr">
        <is>
          <t>Middle East Oil Risk</t>
        </is>
      </c>
      <c r="C53" t="n">
        <v>189</v>
      </c>
      <c r="D53" t="n">
        <v>125</v>
      </c>
      <c r="E53" t="n">
        <v>20.675</v>
      </c>
      <c r="F53">
        <f>IF(B52=B53, IFERROR((E53-E52)/ABS(E52), "n/a"), "")</f>
        <v/>
      </c>
    </row>
    <row r="54">
      <c r="A54" t="inlineStr">
        <is>
          <t>2026-09-19</t>
        </is>
      </c>
      <c r="B54" t="inlineStr">
        <is>
          <t>Middle East Oil Risk</t>
        </is>
      </c>
      <c r="C54" t="n">
        <v>187</v>
      </c>
      <c r="D54" t="n">
        <v>128</v>
      </c>
      <c r="E54" t="n">
        <v>19.45</v>
      </c>
      <c r="F54">
        <f>IF(B53=B54, IFERROR((E54-E53)/ABS(E53), "n/a"), "")</f>
        <v/>
      </c>
    </row>
    <row r="55">
      <c r="A55" t="inlineStr">
        <is>
          <t>2026-09-20</t>
        </is>
      </c>
      <c r="B55" t="inlineStr">
        <is>
          <t>Middle East Oil Risk</t>
        </is>
      </c>
      <c r="C55" t="n">
        <v>190</v>
      </c>
      <c r="D55" t="n">
        <v>127</v>
      </c>
      <c r="E55" t="n">
        <v>18.638</v>
      </c>
      <c r="F55">
        <f>IF(B54=B55, IFERROR((E55-E54)/ABS(E54), "n/a"), "")</f>
        <v/>
      </c>
    </row>
    <row r="56">
      <c r="A56" t="inlineStr">
        <is>
          <t>2026-09-21</t>
        </is>
      </c>
      <c r="B56" t="inlineStr">
        <is>
          <t>Middle East Oil Risk</t>
        </is>
      </c>
      <c r="C56" t="n">
        <v>142</v>
      </c>
      <c r="D56" t="n">
        <v>95</v>
      </c>
      <c r="E56" t="n">
        <v>19.744</v>
      </c>
      <c r="F56">
        <f>IF(B55=B56, IFERROR((E56-E55)/ABS(E55), "n/a"), "")</f>
        <v/>
      </c>
    </row>
    <row r="57">
      <c r="A57" t="inlineStr">
        <is>
          <t>2026-09-22</t>
        </is>
      </c>
      <c r="B57" t="inlineStr">
        <is>
          <t>Middle East Oil Risk</t>
        </is>
      </c>
      <c r="C57" t="n">
        <v>186</v>
      </c>
      <c r="D57" t="n">
        <v>128</v>
      </c>
      <c r="E57" t="n">
        <v>18.521</v>
      </c>
      <c r="F57">
        <f>IF(B56=B57, IFERROR((E57-E56)/ABS(E56), "n/a"), "")</f>
        <v/>
      </c>
    </row>
    <row r="58">
      <c r="A58" t="inlineStr">
        <is>
          <t>2026-09-23</t>
        </is>
      </c>
      <c r="B58" t="inlineStr">
        <is>
          <t>Middle East Oil Risk</t>
        </is>
      </c>
      <c r="C58" t="n">
        <v>189</v>
      </c>
      <c r="D58" t="n">
        <v>128</v>
      </c>
      <c r="E58" t="n">
        <v>19.348</v>
      </c>
      <c r="F58">
        <f>IF(B57=B58, IFERROR((E58-E57)/ABS(E57), "n/a"), "")</f>
        <v/>
      </c>
    </row>
    <row r="59">
      <c r="A59" t="inlineStr">
        <is>
          <t>2026-09-24</t>
        </is>
      </c>
      <c r="B59" t="inlineStr">
        <is>
          <t>Middle East Oil Risk</t>
        </is>
      </c>
      <c r="C59" t="n">
        <v>191</v>
      </c>
      <c r="D59" t="n">
        <v>128</v>
      </c>
      <c r="E59" t="n">
        <v>18.798</v>
      </c>
      <c r="F59">
        <f>IF(B58=B59, IFERROR((E59-E58)/ABS(E58), "n/a"), "")</f>
        <v/>
      </c>
    </row>
    <row r="60">
      <c r="A60" t="inlineStr">
        <is>
          <t>2026-09-25</t>
        </is>
      </c>
      <c r="B60" t="inlineStr">
        <is>
          <t>Middle East Oil Risk</t>
        </is>
      </c>
      <c r="C60" t="n">
        <v>191</v>
      </c>
      <c r="D60" t="n">
        <v>127</v>
      </c>
      <c r="E60" t="n">
        <v>18.42</v>
      </c>
      <c r="F60">
        <f>IF(B59=B60, IFERROR((E60-E59)/ABS(E59), "n/a"), "")</f>
        <v/>
      </c>
    </row>
    <row r="61">
      <c r="A61" t="inlineStr">
        <is>
          <t>2026-09-26</t>
        </is>
      </c>
      <c r="B61" t="inlineStr">
        <is>
          <t>Middle East Oil Risk</t>
        </is>
      </c>
      <c r="C61" t="n">
        <v>192</v>
      </c>
      <c r="D61" t="n">
        <v>125</v>
      </c>
      <c r="E61" t="n">
        <v>18.747</v>
      </c>
      <c r="F61">
        <f>IF(B60=B61, IFERROR((E61-E60)/ABS(E60), "n/a"), "")</f>
        <v/>
      </c>
    </row>
    <row r="62">
      <c r="A62" t="inlineStr">
        <is>
          <t>2026-09-27</t>
        </is>
      </c>
      <c r="B62" t="inlineStr">
        <is>
          <t>Middle East Oil Risk</t>
        </is>
      </c>
      <c r="C62" t="n">
        <v>191</v>
      </c>
      <c r="D62" t="n">
        <v>120</v>
      </c>
      <c r="E62" t="n">
        <v>19.726</v>
      </c>
      <c r="F62">
        <f>IF(B61=B62, IFERROR((E62-E61)/ABS(E61), "n/a"), "")</f>
        <v/>
      </c>
    </row>
    <row r="63">
      <c r="A63" t="inlineStr">
        <is>
          <t>2026-09-28</t>
        </is>
      </c>
      <c r="B63" t="inlineStr">
        <is>
          <t>Middle East Oil Risk</t>
        </is>
      </c>
      <c r="C63" t="n">
        <v>48</v>
      </c>
      <c r="D63" t="n">
        <v>29</v>
      </c>
      <c r="E63" t="n">
        <v>9.458</v>
      </c>
      <c r="F63">
        <f>IF(B62=B63, IFERROR((E63-E62)/ABS(E62), "n/a"), "")</f>
        <v/>
      </c>
    </row>
    <row r="64">
      <c r="A64" t="inlineStr">
        <is>
          <t>2026-09-29</t>
        </is>
      </c>
      <c r="B64" t="inlineStr">
        <is>
          <t>Middle East Oil Risk</t>
        </is>
      </c>
      <c r="C64" t="n">
        <v>192</v>
      </c>
      <c r="D64" t="n">
        <v>118</v>
      </c>
      <c r="E64" t="n">
        <v>19.082</v>
      </c>
      <c r="F64">
        <f>IF(B63=B64, IFERROR((E64-E63)/ABS(E63), "n/a"), "")</f>
        <v/>
      </c>
    </row>
    <row r="65">
      <c r="A65" t="inlineStr">
        <is>
          <t>2026-09-30</t>
        </is>
      </c>
      <c r="B65" t="inlineStr">
        <is>
          <t>Middle East Oil Risk</t>
        </is>
      </c>
      <c r="C65" t="n">
        <v>143</v>
      </c>
      <c r="D65" t="n">
        <v>85</v>
      </c>
      <c r="E65" t="n">
        <v>21.135</v>
      </c>
      <c r="F65">
        <f>IF(B64=B65, IFERROR((E65-E64)/ABS(E64), "n/a"), "")</f>
        <v/>
      </c>
    </row>
    <row r="66">
      <c r="A66" t="inlineStr">
        <is>
          <t>2026-10-01</t>
        </is>
      </c>
      <c r="B66" t="inlineStr">
        <is>
          <t>Middle East Oil Risk</t>
        </is>
      </c>
      <c r="C66" t="n">
        <v>144</v>
      </c>
      <c r="D66" t="n">
        <v>85</v>
      </c>
      <c r="E66" t="n">
        <v>20.801</v>
      </c>
      <c r="F66">
        <f>IF(B65=B66, IFERROR((E66-E65)/ABS(E65), "n/a"), "")</f>
        <v/>
      </c>
    </row>
    <row r="67">
      <c r="A67" t="inlineStr">
        <is>
          <t>2026-10-02</t>
        </is>
      </c>
      <c r="B67" t="inlineStr">
        <is>
          <t>Middle East Oil Risk</t>
        </is>
      </c>
      <c r="C67" t="n">
        <v>142</v>
      </c>
      <c r="D67" t="n">
        <v>88</v>
      </c>
      <c r="E67" t="n">
        <v>18.71</v>
      </c>
      <c r="F67">
        <f>IF(B66=B67, IFERROR((E67-E66)/ABS(E66), "n/a"), "")</f>
        <v/>
      </c>
    </row>
    <row r="68">
      <c r="A68" t="inlineStr">
        <is>
          <t>2026-10-03</t>
        </is>
      </c>
      <c r="B68" t="inlineStr">
        <is>
          <t>Middle East Oil Risk</t>
        </is>
      </c>
      <c r="C68" t="n">
        <v>191</v>
      </c>
      <c r="D68" t="n">
        <v>124</v>
      </c>
      <c r="E68" t="n">
        <v>18.554</v>
      </c>
      <c r="F68">
        <f>IF(B67=B68, IFERROR((E68-E67)/ABS(E67), "n/a"), "")</f>
        <v/>
      </c>
    </row>
    <row r="69">
      <c r="A69" t="inlineStr">
        <is>
          <t>2026-10-04</t>
        </is>
      </c>
      <c r="B69" t="inlineStr">
        <is>
          <t>Middle East Oil Risk</t>
        </is>
      </c>
      <c r="C69" t="n">
        <v>188</v>
      </c>
      <c r="D69" t="n">
        <v>128</v>
      </c>
      <c r="E69" t="n">
        <v>18.978</v>
      </c>
      <c r="F69">
        <f>IF(B68=B69, IFERROR((E69-E68)/ABS(E68), "n/a"), "")</f>
        <v/>
      </c>
    </row>
    <row r="70">
      <c r="A70" t="inlineStr">
        <is>
          <t>2026-10-05</t>
        </is>
      </c>
      <c r="B70" t="inlineStr">
        <is>
          <t>Middle East Oil Risk</t>
        </is>
      </c>
      <c r="C70" t="n">
        <v>92</v>
      </c>
      <c r="D70" t="n">
        <v>64</v>
      </c>
      <c r="E70" t="n">
        <v>20.275</v>
      </c>
      <c r="F70">
        <f>IF(B69=B70, IFERROR((E70-E69)/ABS(E69), "n/a"), "")</f>
        <v/>
      </c>
    </row>
    <row r="71">
      <c r="A71" t="inlineStr">
        <is>
          <t>2026-10-06</t>
        </is>
      </c>
      <c r="B71" t="inlineStr">
        <is>
          <t>Middle East Oil Risk</t>
        </is>
      </c>
      <c r="C71" t="n">
        <v>183</v>
      </c>
      <c r="D71" t="n">
        <v>128</v>
      </c>
      <c r="E71" t="n">
        <v>17.658</v>
      </c>
      <c r="F71">
        <f>IF(B70=B71, IFERROR((E71-E70)/ABS(E70), "n/a"), "")</f>
        <v/>
      </c>
    </row>
    <row r="72">
      <c r="A72" t="inlineStr">
        <is>
          <t>2026-10-07</t>
        </is>
      </c>
      <c r="B72" t="inlineStr">
        <is>
          <t>Middle East Oil Risk</t>
        </is>
      </c>
      <c r="C72" t="n">
        <v>139</v>
      </c>
      <c r="D72" t="n">
        <v>96</v>
      </c>
      <c r="E72" t="n">
        <v>17.221</v>
      </c>
      <c r="F72">
        <f>IF(B71=B72, IFERROR((E72-E71)/ABS(E71), "n/a"), "")</f>
        <v/>
      </c>
    </row>
    <row r="73">
      <c r="A73" t="inlineStr">
        <is>
          <t>2026-10-08</t>
        </is>
      </c>
      <c r="B73" t="inlineStr">
        <is>
          <t>Middle East Oil Risk</t>
        </is>
      </c>
      <c r="C73" t="n">
        <v>135</v>
      </c>
      <c r="D73" t="n">
        <v>91</v>
      </c>
      <c r="E73" t="n">
        <v>16.845</v>
      </c>
      <c r="F73">
        <f>IF(B72=B73, IFERROR((E73-E72)/ABS(E72), "n/a"), "")</f>
        <v/>
      </c>
    </row>
    <row r="74">
      <c r="A74" t="inlineStr">
        <is>
          <t>2026-10-09</t>
        </is>
      </c>
      <c r="B74" t="inlineStr">
        <is>
          <t>Middle East Oil Risk</t>
        </is>
      </c>
      <c r="C74" t="n">
        <v>138</v>
      </c>
      <c r="D74" t="n">
        <v>92</v>
      </c>
      <c r="E74" t="n">
        <v>16.708</v>
      </c>
      <c r="F74">
        <f>IF(B73=B74, IFERROR((E74-E73)/ABS(E73), "n/a"), "")</f>
        <v/>
      </c>
    </row>
    <row r="75">
      <c r="A75" t="inlineStr">
        <is>
          <t>2026-10-10</t>
        </is>
      </c>
      <c r="B75" t="inlineStr">
        <is>
          <t>Middle East Oil Risk</t>
        </is>
      </c>
      <c r="C75" t="n">
        <v>185</v>
      </c>
      <c r="D75" t="n">
        <v>125</v>
      </c>
      <c r="E75" t="n">
        <v>18.268</v>
      </c>
      <c r="F75">
        <f>IF(B74=B75, IFERROR((E75-E74)/ABS(E74), "n/a"), "")</f>
        <v/>
      </c>
    </row>
    <row r="76">
      <c r="A76" t="inlineStr">
        <is>
          <t>2026-10-11</t>
        </is>
      </c>
      <c r="B76" t="inlineStr">
        <is>
          <t>Middle East Oil Risk</t>
        </is>
      </c>
      <c r="C76" t="n">
        <v>140</v>
      </c>
      <c r="D76" t="n">
        <v>96</v>
      </c>
      <c r="E76" t="n">
        <v>19.833</v>
      </c>
      <c r="F76">
        <f>IF(B75=B76, IFERROR((E76-E75)/ABS(E75), "n/a"), "")</f>
        <v/>
      </c>
    </row>
    <row r="77">
      <c r="A77" t="inlineStr">
        <is>
          <t>2026-10-12</t>
        </is>
      </c>
      <c r="B77" t="inlineStr">
        <is>
          <t>Middle East Oil Risk</t>
        </is>
      </c>
      <c r="C77" t="n">
        <v>92</v>
      </c>
      <c r="D77" t="n">
        <v>64</v>
      </c>
      <c r="E77" t="n">
        <v>18.099</v>
      </c>
      <c r="F77">
        <f>IF(B76=B77, IFERROR((E77-E76)/ABS(E76), "n/a"), "")</f>
        <v/>
      </c>
    </row>
    <row r="78">
      <c r="A78" t="inlineStr">
        <is>
          <t>2026-10-13</t>
        </is>
      </c>
      <c r="B78" t="inlineStr">
        <is>
          <t>Middle East Oil Risk</t>
        </is>
      </c>
      <c r="C78" t="n">
        <v>182</v>
      </c>
      <c r="D78" t="n">
        <v>128</v>
      </c>
      <c r="E78" t="n">
        <v>17.736</v>
      </c>
      <c r="F78">
        <f>IF(B77=B78, IFERROR((E78-E77)/ABS(E77), "n/a"), "")</f>
        <v/>
      </c>
    </row>
    <row r="79">
      <c r="A79" t="inlineStr">
        <is>
          <t>2026-10-14</t>
        </is>
      </c>
      <c r="B79" t="inlineStr">
        <is>
          <t>Middle East Oil Risk</t>
        </is>
      </c>
      <c r="C79" t="n">
        <v>139</v>
      </c>
      <c r="D79" t="n">
        <v>95</v>
      </c>
      <c r="E79" t="n">
        <v>17.777</v>
      </c>
      <c r="F79">
        <f>IF(B78=B79, IFERROR((E79-E78)/ABS(E78), "n/a"), "")</f>
        <v/>
      </c>
    </row>
    <row r="80">
      <c r="A80" t="inlineStr">
        <is>
          <t>2026-10-15</t>
        </is>
      </c>
      <c r="B80" t="inlineStr">
        <is>
          <t>Middle East Oil Risk</t>
        </is>
      </c>
      <c r="C80" t="n">
        <v>187</v>
      </c>
      <c r="D80" t="n">
        <v>127</v>
      </c>
      <c r="E80" t="n">
        <v>16.99</v>
      </c>
      <c r="F80">
        <f>IF(B79=B80, IFERROR((E80-E79)/ABS(E79), "n/a"), "")</f>
        <v/>
      </c>
    </row>
    <row r="81">
      <c r="A81" t="inlineStr">
        <is>
          <t>2026-10-16</t>
        </is>
      </c>
      <c r="B81" t="inlineStr">
        <is>
          <t>Middle East Oil Risk</t>
        </is>
      </c>
      <c r="C81" t="n">
        <v>189</v>
      </c>
      <c r="D81" t="n">
        <v>128</v>
      </c>
      <c r="E81" t="n">
        <v>17.77</v>
      </c>
      <c r="F81">
        <f>IF(B80=B81, IFERROR((E81-E80)/ABS(E80), "n/a"), "")</f>
        <v/>
      </c>
    </row>
    <row r="82">
      <c r="A82" t="inlineStr">
        <is>
          <t>2026-10-17</t>
        </is>
      </c>
      <c r="B82" t="inlineStr">
        <is>
          <t>Middle East Oil Risk</t>
        </is>
      </c>
      <c r="C82" t="n">
        <v>191</v>
      </c>
      <c r="D82" t="n">
        <v>128</v>
      </c>
      <c r="E82" t="n">
        <v>17.474</v>
      </c>
      <c r="F82">
        <f>IF(B81=B82, IFERROR((E82-E81)/ABS(E81), "n/a"), "")</f>
        <v/>
      </c>
    </row>
    <row r="83">
      <c r="A83" t="inlineStr">
        <is>
          <t>2026-10-18</t>
        </is>
      </c>
      <c r="B83" t="inlineStr">
        <is>
          <t>Middle East Oil Risk</t>
        </is>
      </c>
      <c r="C83" t="n">
        <v>190</v>
      </c>
      <c r="D83" t="n">
        <v>128</v>
      </c>
      <c r="E83" t="n">
        <v>19.304</v>
      </c>
      <c r="F83">
        <f>IF(B82=B83, IFERROR((E83-E82)/ABS(E82), "n/a"), "")</f>
        <v/>
      </c>
    </row>
    <row r="84">
      <c r="A84" t="inlineStr">
        <is>
          <t>2026-10-19</t>
        </is>
      </c>
      <c r="B84" t="inlineStr">
        <is>
          <t>Middle East Oil Risk</t>
        </is>
      </c>
      <c r="C84" t="n">
        <v>142</v>
      </c>
      <c r="D84" t="n">
        <v>96</v>
      </c>
      <c r="E84" t="n">
        <v>18.242</v>
      </c>
      <c r="F84">
        <f>IF(B83=B84, IFERROR((E84-E83)/ABS(E83), "n/a"), "")</f>
        <v/>
      </c>
    </row>
    <row r="85">
      <c r="A85" t="inlineStr">
        <is>
          <t>2026-10-20</t>
        </is>
      </c>
      <c r="B85" t="inlineStr">
        <is>
          <t>Middle East Oil Risk</t>
        </is>
      </c>
      <c r="C85" t="n">
        <v>188</v>
      </c>
      <c r="D85" t="n">
        <v>128</v>
      </c>
      <c r="E85" t="n">
        <v>20.936</v>
      </c>
      <c r="F85">
        <f>IF(B84=B85, IFERROR((E85-E84)/ABS(E84), "n/a"), "")</f>
        <v/>
      </c>
    </row>
    <row r="86">
      <c r="A86" t="inlineStr">
        <is>
          <t>2026-10-21</t>
        </is>
      </c>
      <c r="B86" t="inlineStr">
        <is>
          <t>Middle East Oil Risk</t>
        </is>
      </c>
      <c r="C86" t="n">
        <v>189</v>
      </c>
      <c r="D86" t="n">
        <v>128</v>
      </c>
      <c r="E86" t="n">
        <v>19.311</v>
      </c>
      <c r="F86">
        <f>IF(B85=B86, IFERROR((E86-E85)/ABS(E85), "n/a"), "")</f>
        <v/>
      </c>
    </row>
    <row r="87">
      <c r="A87" t="inlineStr">
        <is>
          <t>2026-10-22</t>
        </is>
      </c>
      <c r="B87" t="inlineStr">
        <is>
          <t>Middle East Oil Risk</t>
        </is>
      </c>
      <c r="C87" t="n">
        <v>187</v>
      </c>
      <c r="D87" t="n">
        <v>125</v>
      </c>
      <c r="E87" t="n">
        <v>19.432</v>
      </c>
      <c r="F87">
        <f>IF(B86=B87, IFERROR((E87-E86)/ABS(E86), "n/a"), "")</f>
        <v/>
      </c>
    </row>
    <row r="88">
      <c r="A88" t="inlineStr">
        <is>
          <t>2026-10-23</t>
        </is>
      </c>
      <c r="B88" t="inlineStr">
        <is>
          <t>Middle East Oil Risk</t>
        </is>
      </c>
      <c r="C88" t="n">
        <v>178</v>
      </c>
      <c r="D88" t="n">
        <v>125</v>
      </c>
      <c r="E88" t="n">
        <v>17.958</v>
      </c>
      <c r="F88">
        <f>IF(B87=B88, IFERROR((E88-E87)/ABS(E87), "n/a"), "")</f>
        <v/>
      </c>
    </row>
    <row r="89">
      <c r="A89" t="inlineStr">
        <is>
          <t>2026-10-24</t>
        </is>
      </c>
      <c r="B89" t="inlineStr">
        <is>
          <t>Middle East Oil Risk</t>
        </is>
      </c>
      <c r="C89" t="n">
        <v>187</v>
      </c>
      <c r="D89" t="n">
        <v>127</v>
      </c>
      <c r="E89" t="n">
        <v>19.587</v>
      </c>
      <c r="F89">
        <f>IF(B88=B89, IFERROR((E89-E88)/ABS(E88), "n/a"), "")</f>
        <v/>
      </c>
    </row>
    <row r="90">
      <c r="A90" t="inlineStr">
        <is>
          <t>2026-10-25</t>
        </is>
      </c>
      <c r="B90" t="inlineStr">
        <is>
          <t>Middle East Oil Risk</t>
        </is>
      </c>
      <c r="C90" t="n">
        <v>188</v>
      </c>
      <c r="D90" t="n">
        <v>128</v>
      </c>
      <c r="E90" t="n">
        <v>19.952</v>
      </c>
      <c r="F90">
        <f>IF(B89=B90, IFERROR((E90-E89)/ABS(E89), "n/a"), "")</f>
        <v/>
      </c>
    </row>
    <row r="91">
      <c r="A91" t="inlineStr">
        <is>
          <t>2026-10-26</t>
        </is>
      </c>
      <c r="B91" t="inlineStr">
        <is>
          <t>Middle East Oil Risk</t>
        </is>
      </c>
      <c r="C91" t="n">
        <v>138</v>
      </c>
      <c r="D91" t="n">
        <v>96</v>
      </c>
      <c r="E91" t="n">
        <v>18.718</v>
      </c>
      <c r="F91">
        <f>IF(B90=B91, IFERROR((E91-E90)/ABS(E90), "n/a"), "")</f>
        <v/>
      </c>
    </row>
    <row r="92">
      <c r="A92" t="inlineStr">
        <is>
          <t>2026-10-27</t>
        </is>
      </c>
      <c r="B92" t="inlineStr">
        <is>
          <t>Middle East Oil Risk</t>
        </is>
      </c>
      <c r="C92" t="n">
        <v>138</v>
      </c>
      <c r="D92" t="n">
        <v>95</v>
      </c>
      <c r="E92" t="n">
        <v>17.243</v>
      </c>
      <c r="F92">
        <f>IF(B91=B92, IFERROR((E92-E91)/ABS(E91), "n/a"), "")</f>
        <v/>
      </c>
    </row>
    <row r="93">
      <c r="A93" t="inlineStr">
        <is>
          <t>2026-10-28</t>
        </is>
      </c>
      <c r="B93" t="inlineStr">
        <is>
          <t>Middle East Oil Risk</t>
        </is>
      </c>
      <c r="C93" t="n">
        <v>138</v>
      </c>
      <c r="D93" t="n">
        <v>96</v>
      </c>
      <c r="E93" t="n">
        <v>16.261</v>
      </c>
      <c r="F93">
        <f>IF(B92=B93, IFERROR((E93-E92)/ABS(E92), "n/a"), "")</f>
        <v/>
      </c>
    </row>
    <row r="94">
      <c r="A94" t="inlineStr">
        <is>
          <t>2026-09-13</t>
        </is>
      </c>
      <c r="B94" t="inlineStr">
        <is>
          <t>Trade Wars &amp; Escalations</t>
        </is>
      </c>
      <c r="C94" t="n">
        <v>200</v>
      </c>
      <c r="D94" t="n">
        <v>160</v>
      </c>
      <c r="E94" t="n">
        <v>-2.614</v>
      </c>
      <c r="F94">
        <f>IF(B93=B94, IFERROR((E94-E93)/ABS(E93), "n/a"), "")</f>
        <v/>
      </c>
    </row>
    <row r="95">
      <c r="A95" t="inlineStr">
        <is>
          <t>2026-09-14</t>
        </is>
      </c>
      <c r="B95" t="inlineStr">
        <is>
          <t>Trade Wars &amp; Escalations</t>
        </is>
      </c>
      <c r="C95" t="n">
        <v>119</v>
      </c>
      <c r="D95" t="n">
        <v>96</v>
      </c>
      <c r="E95" t="n">
        <v>7.534</v>
      </c>
      <c r="F95">
        <f>IF(B94=B95, IFERROR((E95-E94)/ABS(E94), "n/a"), "")</f>
        <v/>
      </c>
    </row>
    <row r="96">
      <c r="A96" t="inlineStr">
        <is>
          <t>2026-09-15</t>
        </is>
      </c>
      <c r="B96" t="inlineStr">
        <is>
          <t>Trade Wars &amp; Escalations</t>
        </is>
      </c>
      <c r="C96" t="n">
        <v>155</v>
      </c>
      <c r="D96" t="n">
        <v>128</v>
      </c>
      <c r="E96" t="n">
        <v>7.745</v>
      </c>
      <c r="F96">
        <f>IF(B95=B96, IFERROR((E96-E95)/ABS(E95), "n/a"), "")</f>
        <v/>
      </c>
    </row>
    <row r="97">
      <c r="A97" t="inlineStr">
        <is>
          <t>2026-09-16</t>
        </is>
      </c>
      <c r="B97" t="inlineStr">
        <is>
          <t>Trade Wars &amp; Escalations</t>
        </is>
      </c>
      <c r="C97" t="n">
        <v>160</v>
      </c>
      <c r="D97" t="n">
        <v>128</v>
      </c>
      <c r="E97" t="n">
        <v>7.715</v>
      </c>
      <c r="F97">
        <f>IF(B96=B97, IFERROR((E97-E96)/ABS(E96), "n/a"), "")</f>
        <v/>
      </c>
    </row>
    <row r="98">
      <c r="A98" t="inlineStr">
        <is>
          <t>2026-09-17</t>
        </is>
      </c>
      <c r="B98" t="inlineStr">
        <is>
          <t>Trade Wars &amp; Escalations</t>
        </is>
      </c>
      <c r="C98" t="n">
        <v>160</v>
      </c>
      <c r="D98" t="n">
        <v>128</v>
      </c>
      <c r="E98" t="n">
        <v>8.067</v>
      </c>
      <c r="F98">
        <f>IF(B97=B98, IFERROR((E98-E97)/ABS(E97), "n/a"), "")</f>
        <v/>
      </c>
    </row>
    <row r="99">
      <c r="A99" t="inlineStr">
        <is>
          <t>2026-09-18</t>
        </is>
      </c>
      <c r="B99" t="inlineStr">
        <is>
          <t>Trade Wars &amp; Escalations</t>
        </is>
      </c>
      <c r="C99" t="n">
        <v>160</v>
      </c>
      <c r="D99" t="n">
        <v>128</v>
      </c>
      <c r="E99" t="n">
        <v>8.281000000000001</v>
      </c>
      <c r="F99">
        <f>IF(B98=B99, IFERROR((E99-E98)/ABS(E98), "n/a"), "")</f>
        <v/>
      </c>
    </row>
    <row r="100">
      <c r="A100" t="inlineStr">
        <is>
          <t>2026-09-19</t>
        </is>
      </c>
      <c r="B100" t="inlineStr">
        <is>
          <t>Trade Wars &amp; Escalations</t>
        </is>
      </c>
      <c r="C100" t="n">
        <v>160</v>
      </c>
      <c r="D100" t="n">
        <v>126</v>
      </c>
      <c r="E100" t="n">
        <v>7.681</v>
      </c>
      <c r="F100">
        <f>IF(B99=B100, IFERROR((E100-E99)/ABS(E99), "n/a"), "")</f>
        <v/>
      </c>
    </row>
    <row r="101">
      <c r="A101" t="inlineStr">
        <is>
          <t>2026-09-20</t>
        </is>
      </c>
      <c r="B101" t="inlineStr">
        <is>
          <t>Trade Wars &amp; Escalations</t>
        </is>
      </c>
      <c r="C101" t="n">
        <v>160</v>
      </c>
      <c r="D101" t="n">
        <v>126</v>
      </c>
      <c r="E101" t="n">
        <v>7</v>
      </c>
      <c r="F101">
        <f>IF(B100=B101, IFERROR((E101-E100)/ABS(E100), "n/a"), "")</f>
        <v/>
      </c>
    </row>
    <row r="102">
      <c r="A102" t="inlineStr">
        <is>
          <t>2026-09-21</t>
        </is>
      </c>
      <c r="B102" t="inlineStr">
        <is>
          <t>Trade Wars &amp; Escalations</t>
        </is>
      </c>
      <c r="C102" t="n">
        <v>120</v>
      </c>
      <c r="D102" t="n">
        <v>94</v>
      </c>
      <c r="E102" t="n">
        <v>7.051</v>
      </c>
      <c r="F102">
        <f>IF(B101=B102, IFERROR((E102-E101)/ABS(E101), "n/a"), "")</f>
        <v/>
      </c>
    </row>
    <row r="103">
      <c r="A103" t="inlineStr">
        <is>
          <t>2026-09-22</t>
        </is>
      </c>
      <c r="B103" t="inlineStr">
        <is>
          <t>Trade Wars &amp; Escalations</t>
        </is>
      </c>
      <c r="C103" t="n">
        <v>159</v>
      </c>
      <c r="D103" t="n">
        <v>126</v>
      </c>
      <c r="E103" t="n">
        <v>8.592000000000001</v>
      </c>
      <c r="F103">
        <f>IF(B102=B103, IFERROR((E103-E102)/ABS(E102), "n/a"), "")</f>
        <v/>
      </c>
    </row>
    <row r="104">
      <c r="A104" t="inlineStr">
        <is>
          <t>2026-09-23</t>
        </is>
      </c>
      <c r="B104" t="inlineStr">
        <is>
          <t>Trade Wars &amp; Escalations</t>
        </is>
      </c>
      <c r="C104" t="n">
        <v>158</v>
      </c>
      <c r="D104" t="n">
        <v>122</v>
      </c>
      <c r="E104" t="n">
        <v>9.541</v>
      </c>
      <c r="F104">
        <f>IF(B103=B104, IFERROR((E104-E103)/ABS(E103), "n/a"), "")</f>
        <v/>
      </c>
    </row>
    <row r="105">
      <c r="A105" t="inlineStr">
        <is>
          <t>2026-09-24</t>
        </is>
      </c>
      <c r="B105" t="inlineStr">
        <is>
          <t>Trade Wars &amp; Escalations</t>
        </is>
      </c>
      <c r="C105" t="n">
        <v>153</v>
      </c>
      <c r="D105" t="n">
        <v>125</v>
      </c>
      <c r="E105" t="n">
        <v>4.922</v>
      </c>
      <c r="F105">
        <f>IF(B104=B105, IFERROR((E105-E104)/ABS(E104), "n/a"), "")</f>
        <v/>
      </c>
    </row>
    <row r="106">
      <c r="A106" t="inlineStr">
        <is>
          <t>2026-09-25</t>
        </is>
      </c>
      <c r="B106" t="inlineStr">
        <is>
          <t>Trade Wars &amp; Escalations</t>
        </is>
      </c>
      <c r="C106" t="n">
        <v>160</v>
      </c>
      <c r="D106" t="n">
        <v>117</v>
      </c>
      <c r="E106" t="n">
        <v>8.41</v>
      </c>
      <c r="F106">
        <f>IF(B105=B106, IFERROR((E106-E105)/ABS(E105), "n/a"), "")</f>
        <v/>
      </c>
    </row>
    <row r="107">
      <c r="A107" t="inlineStr">
        <is>
          <t>2026-09-26</t>
        </is>
      </c>
      <c r="B107" t="inlineStr">
        <is>
          <t>Trade Wars &amp; Escalations</t>
        </is>
      </c>
      <c r="C107" t="n">
        <v>160</v>
      </c>
      <c r="D107" t="n">
        <v>124</v>
      </c>
      <c r="E107" t="n">
        <v>6.27</v>
      </c>
      <c r="F107">
        <f>IF(B106=B107, IFERROR((E107-E106)/ABS(E106), "n/a"), "")</f>
        <v/>
      </c>
    </row>
    <row r="108">
      <c r="A108" t="inlineStr">
        <is>
          <t>2026-09-27</t>
        </is>
      </c>
      <c r="B108" t="inlineStr">
        <is>
          <t>Trade Wars &amp; Escalations</t>
        </is>
      </c>
      <c r="C108" t="n">
        <v>159</v>
      </c>
      <c r="D108" t="n">
        <v>122</v>
      </c>
      <c r="E108" t="n">
        <v>7.708</v>
      </c>
      <c r="F108">
        <f>IF(B107=B108, IFERROR((E108-E107)/ABS(E107), "n/a"), "")</f>
        <v/>
      </c>
    </row>
    <row r="109">
      <c r="A109" t="inlineStr">
        <is>
          <t>2026-09-28</t>
        </is>
      </c>
      <c r="B109" t="inlineStr">
        <is>
          <t>Trade Wars &amp; Escalations</t>
        </is>
      </c>
      <c r="C109" t="n">
        <v>40</v>
      </c>
      <c r="D109" t="n">
        <v>31</v>
      </c>
      <c r="E109" t="n">
        <v>4.228</v>
      </c>
      <c r="F109">
        <f>IF(B108=B109, IFERROR((E109-E108)/ABS(E108), "n/a"), "")</f>
        <v/>
      </c>
    </row>
    <row r="110">
      <c r="A110" t="inlineStr">
        <is>
          <t>2026-09-29</t>
        </is>
      </c>
      <c r="B110" t="inlineStr">
        <is>
          <t>Trade Wars &amp; Escalations</t>
        </is>
      </c>
      <c r="C110" t="n">
        <v>160</v>
      </c>
      <c r="D110" t="n">
        <v>126</v>
      </c>
      <c r="E110" t="n">
        <v>6.904</v>
      </c>
      <c r="F110">
        <f>IF(B109=B110, IFERROR((E110-E109)/ABS(E109), "n/a"), "")</f>
        <v/>
      </c>
    </row>
    <row r="111">
      <c r="A111" t="inlineStr">
        <is>
          <t>2026-09-30</t>
        </is>
      </c>
      <c r="B111" t="inlineStr">
        <is>
          <t>Trade Wars &amp; Escalations</t>
        </is>
      </c>
      <c r="C111" t="n">
        <v>120</v>
      </c>
      <c r="D111" t="n">
        <v>94</v>
      </c>
      <c r="E111" t="n">
        <v>7.423</v>
      </c>
      <c r="F111">
        <f>IF(B110=B111, IFERROR((E111-E110)/ABS(E110), "n/a"), "")</f>
        <v/>
      </c>
    </row>
    <row r="112">
      <c r="A112" t="inlineStr">
        <is>
          <t>2026-10-01</t>
        </is>
      </c>
      <c r="B112" t="inlineStr">
        <is>
          <t>Trade Wars &amp; Escalations</t>
        </is>
      </c>
      <c r="C112" t="n">
        <v>120</v>
      </c>
      <c r="D112" t="n">
        <v>95</v>
      </c>
      <c r="E112" t="n">
        <v>7.816</v>
      </c>
      <c r="F112">
        <f>IF(B111=B112, IFERROR((E112-E111)/ABS(E111), "n/a"), "")</f>
        <v/>
      </c>
    </row>
    <row r="113">
      <c r="A113" t="inlineStr">
        <is>
          <t>2026-10-02</t>
        </is>
      </c>
      <c r="B113" t="inlineStr">
        <is>
          <t>Trade Wars &amp; Escalations</t>
        </is>
      </c>
      <c r="C113" t="n">
        <v>120</v>
      </c>
      <c r="D113" t="n">
        <v>95</v>
      </c>
      <c r="E113" t="n">
        <v>8.606</v>
      </c>
      <c r="F113">
        <f>IF(B112=B113, IFERROR((E113-E112)/ABS(E112), "n/a"), "")</f>
        <v/>
      </c>
    </row>
    <row r="114">
      <c r="A114" t="inlineStr">
        <is>
          <t>2026-10-03</t>
        </is>
      </c>
      <c r="B114" t="inlineStr">
        <is>
          <t>Trade Wars &amp; Escalations</t>
        </is>
      </c>
      <c r="C114" t="n">
        <v>160</v>
      </c>
      <c r="D114" t="n">
        <v>120</v>
      </c>
      <c r="E114" t="n">
        <v>8.890000000000001</v>
      </c>
      <c r="F114">
        <f>IF(B113=B114, IFERROR((E114-E113)/ABS(E113), "n/a"), "")</f>
        <v/>
      </c>
    </row>
    <row r="115">
      <c r="A115" t="inlineStr">
        <is>
          <t>2026-10-04</t>
        </is>
      </c>
      <c r="B115" t="inlineStr">
        <is>
          <t>Trade Wars &amp; Escalations</t>
        </is>
      </c>
      <c r="C115" t="n">
        <v>160</v>
      </c>
      <c r="D115" t="n">
        <v>120</v>
      </c>
      <c r="E115" t="n">
        <v>9.275</v>
      </c>
      <c r="F115">
        <f>IF(B114=B115, IFERROR((E115-E114)/ABS(E114), "n/a"), "")</f>
        <v/>
      </c>
    </row>
    <row r="116">
      <c r="A116" t="inlineStr">
        <is>
          <t>2026-10-05</t>
        </is>
      </c>
      <c r="B116" t="inlineStr">
        <is>
          <t>Trade Wars &amp; Escalations</t>
        </is>
      </c>
      <c r="C116" t="n">
        <v>80</v>
      </c>
      <c r="D116" t="n">
        <v>59</v>
      </c>
      <c r="E116" t="n">
        <v>10.021</v>
      </c>
      <c r="F116">
        <f>IF(B115=B116, IFERROR((E116-E115)/ABS(E115), "n/a"), "")</f>
        <v/>
      </c>
    </row>
    <row r="117">
      <c r="A117" t="inlineStr">
        <is>
          <t>2026-10-06</t>
        </is>
      </c>
      <c r="B117" t="inlineStr">
        <is>
          <t>Trade Wars &amp; Escalations</t>
        </is>
      </c>
      <c r="C117" t="n">
        <v>160</v>
      </c>
      <c r="D117" t="n">
        <v>118</v>
      </c>
      <c r="E117" t="n">
        <v>8.647</v>
      </c>
      <c r="F117">
        <f>IF(B116=B117, IFERROR((E117-E116)/ABS(E116), "n/a"), "")</f>
        <v/>
      </c>
    </row>
    <row r="118">
      <c r="A118" t="inlineStr">
        <is>
          <t>2026-10-07</t>
        </is>
      </c>
      <c r="B118" t="inlineStr">
        <is>
          <t>Trade Wars &amp; Escalations</t>
        </is>
      </c>
      <c r="C118" t="n">
        <v>120</v>
      </c>
      <c r="D118" t="n">
        <v>90</v>
      </c>
      <c r="E118" t="n">
        <v>8.141999999999999</v>
      </c>
      <c r="F118">
        <f>IF(B117=B118, IFERROR((E118-E117)/ABS(E117), "n/a"), "")</f>
        <v/>
      </c>
    </row>
    <row r="119">
      <c r="A119" t="inlineStr">
        <is>
          <t>2026-10-08</t>
        </is>
      </c>
      <c r="B119" t="inlineStr">
        <is>
          <t>Trade Wars &amp; Escalations</t>
        </is>
      </c>
      <c r="C119" t="n">
        <v>120</v>
      </c>
      <c r="D119" t="n">
        <v>87</v>
      </c>
      <c r="E119" t="n">
        <v>8.19</v>
      </c>
      <c r="F119">
        <f>IF(B118=B119, IFERROR((E119-E118)/ABS(E118), "n/a"), "")</f>
        <v/>
      </c>
    </row>
    <row r="120">
      <c r="A120" t="inlineStr">
        <is>
          <t>2026-10-09</t>
        </is>
      </c>
      <c r="B120" t="inlineStr">
        <is>
          <t>Trade Wars &amp; Escalations</t>
        </is>
      </c>
      <c r="C120" t="n">
        <v>120</v>
      </c>
      <c r="D120" t="n">
        <v>87</v>
      </c>
      <c r="E120" t="n">
        <v>8.778</v>
      </c>
      <c r="F120">
        <f>IF(B119=B120, IFERROR((E120-E119)/ABS(E119), "n/a"), "")</f>
        <v/>
      </c>
    </row>
    <row r="121">
      <c r="A121" t="inlineStr">
        <is>
          <t>2026-10-10</t>
        </is>
      </c>
      <c r="B121" t="inlineStr">
        <is>
          <t>Trade Wars &amp; Escalations</t>
        </is>
      </c>
      <c r="C121" t="n">
        <v>160</v>
      </c>
      <c r="D121" t="n">
        <v>116</v>
      </c>
      <c r="E121" t="n">
        <v>8.058999999999999</v>
      </c>
      <c r="F121">
        <f>IF(B120=B121, IFERROR((E121-E120)/ABS(E120), "n/a"), "")</f>
        <v/>
      </c>
    </row>
    <row r="122">
      <c r="A122" t="inlineStr">
        <is>
          <t>2026-10-11</t>
        </is>
      </c>
      <c r="B122" t="inlineStr">
        <is>
          <t>Trade Wars &amp; Escalations</t>
        </is>
      </c>
      <c r="C122" t="n">
        <v>120</v>
      </c>
      <c r="D122" t="n">
        <v>91</v>
      </c>
      <c r="E122" t="n">
        <v>8.747</v>
      </c>
      <c r="F122">
        <f>IF(B121=B122, IFERROR((E122-E121)/ABS(E121), "n/a"), "")</f>
        <v/>
      </c>
    </row>
    <row r="123">
      <c r="A123" t="inlineStr">
        <is>
          <t>2026-10-12</t>
        </is>
      </c>
      <c r="B123" t="inlineStr">
        <is>
          <t>Trade Wars &amp; Escalations</t>
        </is>
      </c>
      <c r="C123" t="n">
        <v>80</v>
      </c>
      <c r="D123" t="n">
        <v>62</v>
      </c>
      <c r="E123" t="n">
        <v>8.003</v>
      </c>
      <c r="F123">
        <f>IF(B122=B123, IFERROR((E123-E122)/ABS(E122), "n/a"), "")</f>
        <v/>
      </c>
    </row>
    <row r="124">
      <c r="A124" t="inlineStr">
        <is>
          <t>2026-10-13</t>
        </is>
      </c>
      <c r="B124" t="inlineStr">
        <is>
          <t>Trade Wars &amp; Escalations</t>
        </is>
      </c>
      <c r="C124" t="n">
        <v>160</v>
      </c>
      <c r="D124" t="n">
        <v>123</v>
      </c>
      <c r="E124" t="n">
        <v>7.382</v>
      </c>
      <c r="F124">
        <f>IF(B123=B124, IFERROR((E124-E123)/ABS(E123), "n/a"), "")</f>
        <v/>
      </c>
    </row>
    <row r="125">
      <c r="A125" t="inlineStr">
        <is>
          <t>2026-10-14</t>
        </is>
      </c>
      <c r="B125" t="inlineStr">
        <is>
          <t>Trade Wars &amp; Escalations</t>
        </is>
      </c>
      <c r="C125" t="n">
        <v>117</v>
      </c>
      <c r="D125" t="n">
        <v>92</v>
      </c>
      <c r="E125" t="n">
        <v>6.514</v>
      </c>
      <c r="F125">
        <f>IF(B124=B125, IFERROR((E125-E124)/ABS(E124), "n/a"), "")</f>
        <v/>
      </c>
    </row>
    <row r="126">
      <c r="A126" t="inlineStr">
        <is>
          <t>2026-10-15</t>
        </is>
      </c>
      <c r="B126" t="inlineStr">
        <is>
          <t>Trade Wars &amp; Escalations</t>
        </is>
      </c>
      <c r="C126" t="n">
        <v>156</v>
      </c>
      <c r="D126" t="n">
        <v>123</v>
      </c>
      <c r="E126" t="n">
        <v>6.762</v>
      </c>
      <c r="F126">
        <f>IF(B125=B126, IFERROR((E126-E125)/ABS(E125), "n/a"), "")</f>
        <v/>
      </c>
    </row>
    <row r="127">
      <c r="A127" t="inlineStr">
        <is>
          <t>2026-10-16</t>
        </is>
      </c>
      <c r="B127" t="inlineStr">
        <is>
          <t>Trade Wars &amp; Escalations</t>
        </is>
      </c>
      <c r="C127" t="n">
        <v>156</v>
      </c>
      <c r="D127" t="n">
        <v>123</v>
      </c>
      <c r="E127" t="n">
        <v>6.454</v>
      </c>
      <c r="F127">
        <f>IF(B126=B127, IFERROR((E127-E126)/ABS(E126), "n/a"), "")</f>
        <v/>
      </c>
    </row>
    <row r="128">
      <c r="A128" t="inlineStr">
        <is>
          <t>2026-10-17</t>
        </is>
      </c>
      <c r="B128" t="inlineStr">
        <is>
          <t>Trade Wars &amp; Escalations</t>
        </is>
      </c>
      <c r="C128" t="n">
        <v>156</v>
      </c>
      <c r="D128" t="n">
        <v>122</v>
      </c>
      <c r="E128" t="n">
        <v>6.044</v>
      </c>
      <c r="F128">
        <f>IF(B127=B128, IFERROR((E128-E127)/ABS(E127), "n/a"), "")</f>
        <v/>
      </c>
    </row>
    <row r="129">
      <c r="A129" t="inlineStr">
        <is>
          <t>2026-10-18</t>
        </is>
      </c>
      <c r="B129" t="inlineStr">
        <is>
          <t>Trade Wars &amp; Escalations</t>
        </is>
      </c>
      <c r="C129" t="n">
        <v>156</v>
      </c>
      <c r="D129" t="n">
        <v>119</v>
      </c>
      <c r="E129" t="n">
        <v>6.172</v>
      </c>
      <c r="F129">
        <f>IF(B128=B129, IFERROR((E129-E128)/ABS(E128), "n/a"), "")</f>
        <v/>
      </c>
    </row>
    <row r="130">
      <c r="A130" t="inlineStr">
        <is>
          <t>2026-10-19</t>
        </is>
      </c>
      <c r="B130" t="inlineStr">
        <is>
          <t>Trade Wars &amp; Escalations</t>
        </is>
      </c>
      <c r="C130" t="n">
        <v>117</v>
      </c>
      <c r="D130" t="n">
        <v>86</v>
      </c>
      <c r="E130" t="n">
        <v>7.284</v>
      </c>
      <c r="F130">
        <f>IF(B129=B130, IFERROR((E130-E129)/ABS(E129), "n/a"), "")</f>
        <v/>
      </c>
    </row>
    <row r="131">
      <c r="A131" t="inlineStr">
        <is>
          <t>2026-10-20</t>
        </is>
      </c>
      <c r="B131" t="inlineStr">
        <is>
          <t>Trade Wars &amp; Escalations</t>
        </is>
      </c>
      <c r="C131" t="n">
        <v>158</v>
      </c>
      <c r="D131" t="n">
        <v>117</v>
      </c>
      <c r="E131" t="n">
        <v>7.297</v>
      </c>
      <c r="F131">
        <f>IF(B130=B131, IFERROR((E131-E130)/ABS(E130), "n/a"), "")</f>
        <v/>
      </c>
    </row>
    <row r="132">
      <c r="A132" t="inlineStr">
        <is>
          <t>2026-10-21</t>
        </is>
      </c>
      <c r="B132" t="inlineStr">
        <is>
          <t>Trade Wars &amp; Escalations</t>
        </is>
      </c>
      <c r="C132" t="n">
        <v>159</v>
      </c>
      <c r="D132" t="n">
        <v>122</v>
      </c>
      <c r="E132" t="n">
        <v>6.6</v>
      </c>
      <c r="F132">
        <f>IF(B131=B132, IFERROR((E132-E131)/ABS(E131), "n/a"), "")</f>
        <v/>
      </c>
    </row>
    <row r="133">
      <c r="A133" t="inlineStr">
        <is>
          <t>2026-10-22</t>
        </is>
      </c>
      <c r="B133" t="inlineStr">
        <is>
          <t>Trade Wars &amp; Escalations</t>
        </is>
      </c>
      <c r="C133" t="n">
        <v>160</v>
      </c>
      <c r="D133" t="n">
        <v>124</v>
      </c>
      <c r="E133" t="n">
        <v>6.775</v>
      </c>
      <c r="F133">
        <f>IF(B132=B133, IFERROR((E133-E132)/ABS(E132), "n/a"), "")</f>
        <v/>
      </c>
    </row>
    <row r="134">
      <c r="A134" t="inlineStr">
        <is>
          <t>2026-10-23</t>
        </is>
      </c>
      <c r="B134" t="inlineStr">
        <is>
          <t>Trade Wars &amp; Escalations</t>
        </is>
      </c>
      <c r="C134" t="n">
        <v>160</v>
      </c>
      <c r="D134" t="n">
        <v>127</v>
      </c>
      <c r="E134" t="n">
        <v>6.858</v>
      </c>
      <c r="F134">
        <f>IF(B133=B134, IFERROR((E134-E133)/ABS(E133), "n/a"), "")</f>
        <v/>
      </c>
    </row>
    <row r="135">
      <c r="A135" t="inlineStr">
        <is>
          <t>2026-10-24</t>
        </is>
      </c>
      <c r="B135" t="inlineStr">
        <is>
          <t>Trade Wars &amp; Escalations</t>
        </is>
      </c>
      <c r="C135" t="n">
        <v>160</v>
      </c>
      <c r="D135" t="n">
        <v>127</v>
      </c>
      <c r="E135" t="n">
        <v>7.779</v>
      </c>
      <c r="F135">
        <f>IF(B134=B135, IFERROR((E135-E134)/ABS(E134), "n/a"), "")</f>
        <v/>
      </c>
    </row>
    <row r="136">
      <c r="A136" t="inlineStr">
        <is>
          <t>2026-10-25</t>
        </is>
      </c>
      <c r="B136" t="inlineStr">
        <is>
          <t>Trade Wars &amp; Escalations</t>
        </is>
      </c>
      <c r="C136" t="n">
        <v>160</v>
      </c>
      <c r="D136" t="n">
        <v>128</v>
      </c>
      <c r="E136" t="n">
        <v>7.257</v>
      </c>
      <c r="F136">
        <f>IF(B135=B136, IFERROR((E136-E135)/ABS(E135), "n/a"), "")</f>
        <v/>
      </c>
    </row>
    <row r="137">
      <c r="A137" t="inlineStr">
        <is>
          <t>2026-10-26</t>
        </is>
      </c>
      <c r="B137" t="inlineStr">
        <is>
          <t>Trade Wars &amp; Escalations</t>
        </is>
      </c>
      <c r="C137" t="n">
        <v>120</v>
      </c>
      <c r="D137" t="n">
        <v>96</v>
      </c>
      <c r="E137" t="n">
        <v>7.642</v>
      </c>
      <c r="F137">
        <f>IF(B136=B137, IFERROR((E137-E136)/ABS(E136), "n/a"), "")</f>
        <v/>
      </c>
    </row>
    <row r="138">
      <c r="A138" t="inlineStr">
        <is>
          <t>2026-10-27</t>
        </is>
      </c>
      <c r="B138" t="inlineStr">
        <is>
          <t>Trade Wars &amp; Escalations</t>
        </is>
      </c>
      <c r="C138" t="n">
        <v>119</v>
      </c>
      <c r="D138" t="n">
        <v>96</v>
      </c>
      <c r="E138" t="n">
        <v>8.321999999999999</v>
      </c>
      <c r="F138">
        <f>IF(B137=B138, IFERROR((E138-E137)/ABS(E137), "n/a"), "")</f>
        <v/>
      </c>
    </row>
    <row r="139">
      <c r="A139" t="inlineStr">
        <is>
          <t>2026-10-28</t>
        </is>
      </c>
      <c r="B139" t="inlineStr">
        <is>
          <t>Trade Wars &amp; Escalations</t>
        </is>
      </c>
      <c r="C139" t="n">
        <v>119</v>
      </c>
      <c r="D139" t="n">
        <v>96</v>
      </c>
      <c r="E139" t="n">
        <v>6.716</v>
      </c>
      <c r="F139">
        <f>IF(B138=B139, IFERROR((E139-E138)/ABS(E138),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2026-10-29T05:36:13Z</dcterms:modified>
</cp:coreProperties>
</file>