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2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0">
      <c r="A200" t="inlineStr">
        <is>
          <t>2026-09-30T14:54:04+00:00</t>
        </is>
      </c>
      <c r="B200" t="inlineStr">
        <is>
          <t>2026-09-30</t>
        </is>
      </c>
      <c r="C200" t="inlineStr">
        <is>
          <t>Middle East Oil Risk</t>
        </is>
      </c>
      <c r="D200" t="n">
        <v>47</v>
      </c>
      <c r="E200" t="n">
        <v>0.5649999999999999</v>
      </c>
      <c r="F200" t="n">
        <v>-0.387</v>
      </c>
      <c r="G200" t="n">
        <v>28</v>
      </c>
      <c r="H200" t="n">
        <v>0.77</v>
      </c>
      <c r="I200" t="n">
        <v>-0.146</v>
      </c>
      <c r="J200" t="n">
        <v>20.642</v>
      </c>
      <c r="K200" t="inlineStr">
        <is>
          <t>How the Iran war unfolded: every attack and oil price change – visualised | US-Israel war on Iran - The Guardian</t>
        </is>
      </c>
      <c r="L20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0" t="inlineStr">
        <is>
          <t>Four crewmembers, two rescuers killed in Red Sea attack; U.S. strikes ship in Gulf of Oman - NBC News</t>
        </is>
      </c>
      <c r="N20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0" t="inlineStr">
        <is>
          <t>Israel-Hezbollah clashes kill 11 as Mideast conflict escalation gathers pace after U.S.-Iran strikes - CNBC</t>
        </is>
      </c>
      <c r="P2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0" t="inlineStr">
        <is>
          <t>vader</t>
        </is>
      </c>
      <c r="R200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00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0" t="inlineStr">
        <is>
          <t>Israel Violated Gaza Ceasefire Over 5,140 Times, Killing 1,421: Palestinian Authorities - countercurrents.org</t>
        </is>
      </c>
      <c r="U200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0" t="inlineStr">
        <is>
          <t>Israeli attacks kill 6 Palestinians, injure 18 in Gaza despite ceasefire - Muslim Network TV</t>
        </is>
      </c>
      <c r="W200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1">
      <c r="A201" t="inlineStr">
        <is>
          <t>2026-09-30T14:54:04+00:00</t>
        </is>
      </c>
      <c r="B201" t="inlineStr">
        <is>
          <t>2026-09-30</t>
        </is>
      </c>
      <c r="C201" t="inlineStr">
        <is>
          <t>Macroeconomic Interventions</t>
        </is>
      </c>
      <c r="D201" t="n">
        <v>40</v>
      </c>
      <c r="E201" t="n">
        <v>0.427</v>
      </c>
      <c r="F201" t="n">
        <v>0.004</v>
      </c>
      <c r="G201" t="n">
        <v>32</v>
      </c>
      <c r="H201" t="n">
        <v>0.363</v>
      </c>
      <c r="I201" t="n">
        <v>0.131</v>
      </c>
      <c r="J201" t="n">
        <v>-10.347</v>
      </c>
      <c r="K201" t="inlineStr">
        <is>
          <t>Bitcoin posts surprise rally as currency nears $70,000 for the first time since June - Fortune</t>
        </is>
      </c>
      <c r="L20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1" t="inlineStr">
        <is>
          <t>UAE injects $8bn into banking system as liquidity falls - thebanker.com</t>
        </is>
      </c>
      <c r="N20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1" t="inlineStr">
        <is>
          <t>After ‘Unlimited’ Cash Shift, New York Fed Pumps Another $34B Into Wall Street - DCReport.org</t>
        </is>
      </c>
      <c r="P20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01" t="inlineStr">
        <is>
          <t>finbert</t>
        </is>
      </c>
      <c r="R201" t="inlineStr">
        <is>
          <t>Shelved mega deals may help 'stabilize' the market - Bond Buyer</t>
        </is>
      </c>
      <c r="S20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1" t="inlineStr">
        <is>
          <t>USD/JPY outlook: BOJ holds steady as intervention risk builds - FOREX.com</t>
        </is>
      </c>
      <c r="U20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01" t="inlineStr">
        <is>
          <t>Ueda Speech: BoJ Governor discusses policy outlook after the expected interest rate hold - FXStreet</t>
        </is>
      </c>
      <c r="W201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02">
      <c r="A202" t="inlineStr">
        <is>
          <t>2026-09-30T14:54:04+00:00</t>
        </is>
      </c>
      <c r="B202" t="inlineStr">
        <is>
          <t>2026-09-30</t>
        </is>
      </c>
      <c r="C202" t="inlineStr">
        <is>
          <t>Trade Wars &amp; Escalations</t>
        </is>
      </c>
      <c r="D202" t="n">
        <v>40</v>
      </c>
      <c r="E202" t="n">
        <v>0.647</v>
      </c>
      <c r="F202" t="n">
        <v>-0.255</v>
      </c>
      <c r="G202" t="n">
        <v>32</v>
      </c>
      <c r="H202" t="n">
        <v>0.875</v>
      </c>
      <c r="I202" t="n">
        <v>0.136</v>
      </c>
      <c r="J202" t="n">
        <v>6.915</v>
      </c>
      <c r="K202" t="inlineStr">
        <is>
          <t>US ban on Canadian alcohol and dairy takes effect as trade war drags on - BBC</t>
        </is>
      </c>
      <c r="L202" t="inlineStr">
        <is>
          <t>https://news.google.com/rss/articles/CBMiW0FVX3lxTE5JMVJIVF9zTWREN1pOVjNTSFFFWHBuai1nbkMtcHNuY3JOTWhUODg5UTBDUWE0VFU3MFFNNjBxb2FNVzh6UElMd001ZEx2Tm05dEdiUHBpS19LMDA?oc=5</t>
        </is>
      </c>
      <c r="M202" t="inlineStr">
        <is>
          <t>Trump uses Depression-era law to ban Canadian alcohol in trade war escalation - WRTV</t>
        </is>
      </c>
      <c r="N20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2" t="inlineStr">
        <is>
          <t>US to lift Mexico cattle ban to combat high beef prices - Supply Chain Dive</t>
        </is>
      </c>
      <c r="P20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2" t="inlineStr">
        <is>
          <t>vader</t>
        </is>
      </c>
      <c r="R202" t="inlineStr">
        <is>
          <t>Toys Included in New U.S.-China Tariff Relief Agreement - The Toy Book</t>
        </is>
      </c>
      <c r="S20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2" t="inlineStr">
        <is>
          <t>Trump welcomes Xi to Washington as US, China agree to extend trade truce - Al Jazeera</t>
        </is>
      </c>
      <c r="U20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2" t="inlineStr">
        <is>
          <t>U.S. and China Strike Agreement for $60 Billion in Tariff Relief - Modaes</t>
        </is>
      </c>
      <c r="W20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3">
      <c r="A203" t="inlineStr">
        <is>
          <t>2026-09-30T20:46:35+00:00</t>
        </is>
      </c>
      <c r="B203" t="inlineStr">
        <is>
          <t>2026-09-30</t>
        </is>
      </c>
      <c r="C203" t="inlineStr">
        <is>
          <t>Middle East Oil Risk</t>
        </is>
      </c>
      <c r="D203" t="n">
        <v>48</v>
      </c>
      <c r="E203" t="n">
        <v>0.535</v>
      </c>
      <c r="F203" t="n">
        <v>-0.451</v>
      </c>
      <c r="G203" t="n">
        <v>28</v>
      </c>
      <c r="H203" t="n">
        <v>0.8120000000000001</v>
      </c>
      <c r="I203" t="n">
        <v>-0.129</v>
      </c>
      <c r="J203" t="n">
        <v>22.632</v>
      </c>
      <c r="K203" t="inlineStr">
        <is>
          <t>USA/Israel/Iran: Investigation into US-Israeli strikes on Tehran neighbourhoods reveals devastating civilian harm - Amnesty International</t>
        </is>
      </c>
      <c r="L20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3" t="inlineStr">
        <is>
          <t>Four crewmembers, two rescuers killed in Red Sea attack; U.S. strikes ship in Gulf of Oman - NBC News</t>
        </is>
      </c>
      <c r="N20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3" t="inlineStr">
        <is>
          <t>Israel-Hezbollah clashes kill 11 as Mideast conflict escalation gathers pace after U.S.-Iran strikes - CNBC</t>
        </is>
      </c>
      <c r="P2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3" t="inlineStr">
        <is>
          <t>vader</t>
        </is>
      </c>
      <c r="R203" t="inlineStr">
        <is>
          <t>Gaza ceasefire violations by Israel kill four as West Bank is closed and Lebanon hit; Iran tightens Hormuz controls, US Marines injured, Yemen fighting intensifies and Netanyahu meets UAE leader - muslimnews.co.uk</t>
        </is>
      </c>
      <c r="S203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3" t="inlineStr">
        <is>
          <t>Israel Violated Gaza Ceasefire Over 5,140 Times, Killing 1,421: Palestinian Authorities - Countercurrents</t>
        </is>
      </c>
      <c r="U203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3" t="inlineStr">
        <is>
          <t>Israeli attacks kill 6 Palestinians, injure 18 in Gaza despite ceasefire - Muslim Network TV</t>
        </is>
      </c>
      <c r="W203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4">
      <c r="A204" t="inlineStr">
        <is>
          <t>2026-09-30T20:46:35+00:00</t>
        </is>
      </c>
      <c r="B204" t="inlineStr">
        <is>
          <t>2026-09-30</t>
        </is>
      </c>
      <c r="C204" t="inlineStr">
        <is>
          <t>Macroeconomic Interventions</t>
        </is>
      </c>
      <c r="D204" t="n">
        <v>40</v>
      </c>
      <c r="E204" t="n">
        <v>0.402</v>
      </c>
      <c r="F204" t="n">
        <v>0.037</v>
      </c>
      <c r="G204" t="n">
        <v>32</v>
      </c>
      <c r="H204" t="n">
        <v>0.243</v>
      </c>
      <c r="I204" t="n">
        <v>0.059</v>
      </c>
      <c r="J204" t="n">
        <v>-7.931</v>
      </c>
      <c r="K204" t="inlineStr">
        <is>
          <t>Bitcoin posts surprise rally as currency nears $70,000 for the first time since June - Fortune</t>
        </is>
      </c>
      <c r="L20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4" t="inlineStr">
        <is>
          <t>Federal Reserve Injects $13.5 Billion Into U.S. Banks - stl.news</t>
        </is>
      </c>
      <c r="N204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04" t="inlineStr">
        <is>
          <t>UAE injects $8bn into banking system as liquidity falls - thebanker.com</t>
        </is>
      </c>
      <c r="P20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04" t="inlineStr">
        <is>
          <t>finbert</t>
        </is>
      </c>
      <c r="R204" t="inlineStr">
        <is>
          <t>Shelved mega deals may help 'stabilize' the market - Bond Buyer</t>
        </is>
      </c>
      <c r="S20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4" t="inlineStr">
        <is>
          <t>BOJ's Split Vote on Rates Marks Most Hawkish Divide of Ueda Era - Bloomberg.com</t>
        </is>
      </c>
      <c r="U20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204" t="inlineStr">
        <is>
          <t>Global Markets Stabilize as Bond Sell-off Eases Amid Inflation C - GuruFocus</t>
        </is>
      </c>
      <c r="W20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5">
      <c r="A205" t="inlineStr">
        <is>
          <t>2026-09-30T20:46:35+00:00</t>
        </is>
      </c>
      <c r="B205" t="inlineStr">
        <is>
          <t>2026-09-30</t>
        </is>
      </c>
      <c r="C205" t="inlineStr">
        <is>
          <t>Trade Wars &amp; Escalations</t>
        </is>
      </c>
      <c r="D205" t="n">
        <v>40</v>
      </c>
      <c r="E205" t="n">
        <v>0.648</v>
      </c>
      <c r="F205" t="n">
        <v>-0.275</v>
      </c>
      <c r="G205" t="n">
        <v>31</v>
      </c>
      <c r="H205" t="n">
        <v>0.887</v>
      </c>
      <c r="I205" t="n">
        <v>0.112</v>
      </c>
      <c r="J205" t="n">
        <v>8.273999999999999</v>
      </c>
      <c r="K205" t="inlineStr">
        <is>
          <t>US ban on Canadian alcohol and dairy takes effect as trade war drags on - BBC</t>
        </is>
      </c>
      <c r="L205" t="inlineStr">
        <is>
          <t>https://news.google.com/rss/articles/CBMiW0FVX3lxTE5JMVJIVF9zTWREN1pOVjNTSFFFWHBuai1nbkMtcHNuY3JOTWhUODg5UTBDUWE0VFU3MFFNNjBxb2FNVzh6UElMd001ZEx2Tm05dEdiUHBpS19LMDA?oc=5</t>
        </is>
      </c>
      <c r="M205" t="inlineStr">
        <is>
          <t>Trump uses Depression-era law to ban Canadian alcohol in trade war escalation - WRTV</t>
        </is>
      </c>
      <c r="N20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5" t="inlineStr">
        <is>
          <t>US to lift Mexico cattle ban to combat high beef prices - Supply Chain Dive</t>
        </is>
      </c>
      <c r="P20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5" t="inlineStr">
        <is>
          <t>vader</t>
        </is>
      </c>
      <c r="R205" t="inlineStr">
        <is>
          <t>Toys Included in New U.S.-China Tariff Relief Agreement - The Toy Book</t>
        </is>
      </c>
      <c r="S20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5" t="inlineStr">
        <is>
          <t>Trump welcomes Xi to Washington as US, China agree to extend trade truce - Al Jazeera</t>
        </is>
      </c>
      <c r="U205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5" t="inlineStr">
        <is>
          <t>U.S. and China Strike Agreement for $60 Billion in Tariff Relief - Modaes</t>
        </is>
      </c>
      <c r="W20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6">
      <c r="A206" t="inlineStr">
        <is>
          <t>2026-10-01T05:38:54+00:00</t>
        </is>
      </c>
      <c r="B206" t="inlineStr">
        <is>
          <t>2026-10-01</t>
        </is>
      </c>
      <c r="C206" t="inlineStr">
        <is>
          <t>Middle East Oil Risk</t>
        </is>
      </c>
      <c r="D206" t="n">
        <v>48</v>
      </c>
      <c r="E206" t="n">
        <v>0.498</v>
      </c>
      <c r="F206" t="n">
        <v>-0.427</v>
      </c>
      <c r="G206" t="n">
        <v>29</v>
      </c>
      <c r="H206" t="n">
        <v>0.791</v>
      </c>
      <c r="I206" t="n">
        <v>-0.068</v>
      </c>
      <c r="J206" t="n">
        <v>20.724</v>
      </c>
      <c r="K206" t="inlineStr">
        <is>
          <t>USA/Israel/Iran: Investigation into US-Israeli strikes on Tehran neighbourhoods reveals devastating civilian harm - Amnesty International</t>
        </is>
      </c>
      <c r="L20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6" t="inlineStr">
        <is>
          <t>Four crewmembers, two rescuers killed in Red Sea attack; U.S. strikes ship in Gulf of Oman - NBC News</t>
        </is>
      </c>
      <c r="N20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6" t="inlineStr">
        <is>
          <t>Israel-Hezbollah clashes kill 11 as Mideast conflict escalation gathers pace after U.S.-Iran strikes - CNBC</t>
        </is>
      </c>
      <c r="P2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6" t="inlineStr">
        <is>
          <t>vader</t>
        </is>
      </c>
      <c r="R206" t="inlineStr">
        <is>
          <t>Israel Violated Gaza Ceasefire Over 5,140 Times, Killing 1,421: Palestinian Authorities - Countercurrents.org</t>
        </is>
      </c>
      <c r="S206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6" t="inlineStr">
        <is>
          <t>Israeli attacks kill 6 Palestinians, injure 18 in Gaza despite ceasefire - Muslim Network TV</t>
        </is>
      </c>
      <c r="U206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6" t="inlineStr">
        <is>
          <t>Acting Special Coordinator for the Middle East Peace Process's remarks at the Security Council on the Report of the Secretary-General on the Implementation of UNSCR 2334 [as delivered] - DPPA</t>
        </is>
      </c>
      <c r="W20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07">
      <c r="A207" t="inlineStr">
        <is>
          <t>2026-10-01T05:38:54+00:00</t>
        </is>
      </c>
      <c r="B207" t="inlineStr">
        <is>
          <t>2026-10-01</t>
        </is>
      </c>
      <c r="C207" t="inlineStr">
        <is>
          <t>Macroeconomic Interventions</t>
        </is>
      </c>
      <c r="D207" t="n">
        <v>40</v>
      </c>
      <c r="E207" t="n">
        <v>0.351</v>
      </c>
      <c r="F207" t="n">
        <v>0.022</v>
      </c>
      <c r="G207" t="n">
        <v>32</v>
      </c>
      <c r="H207" t="n">
        <v>0.305</v>
      </c>
      <c r="I207" t="n">
        <v>0.125</v>
      </c>
      <c r="J207" t="n">
        <v>-7.903</v>
      </c>
      <c r="K207" t="inlineStr">
        <is>
          <t>Bitcoin posts surprise rally as currency nears $70,000 for the first time since June - Fortune</t>
        </is>
      </c>
      <c r="L2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7" t="inlineStr">
        <is>
          <t>UAE injects $8bn into banking system as liquidity falls - thebanker.com</t>
        </is>
      </c>
      <c r="N20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7" t="inlineStr">
        <is>
          <t>Hearing on "Interest on Reserves Payments" - Cato Institute</t>
        </is>
      </c>
      <c r="P20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07" t="inlineStr">
        <is>
          <t>finbert</t>
        </is>
      </c>
      <c r="R207" t="inlineStr">
        <is>
          <t>Ueda Speech: BoJ Governor discusses policy outlook after the expected interest rate hold - fxstreet.com</t>
        </is>
      </c>
      <c r="S207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  <c r="T207" t="inlineStr">
        <is>
          <t>Shelved mega deals may help 'stabilize' the market - bondbuyer.com</t>
        </is>
      </c>
      <c r="U20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07" t="inlineStr">
        <is>
          <t>Global Markets Stabilize as Bond Sell-off Eases Amid Inflation C - GuruFocus</t>
        </is>
      </c>
      <c r="W207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8">
      <c r="A208" t="inlineStr">
        <is>
          <t>2026-10-01T05:38:54+00:00</t>
        </is>
      </c>
      <c r="B208" t="inlineStr">
        <is>
          <t>2026-10-01</t>
        </is>
      </c>
      <c r="C208" t="inlineStr">
        <is>
          <t>Trade Wars &amp; Escalations</t>
        </is>
      </c>
      <c r="D208" t="n">
        <v>40</v>
      </c>
      <c r="E208" t="n">
        <v>0.631</v>
      </c>
      <c r="F208" t="n">
        <v>-0.287</v>
      </c>
      <c r="G208" t="n">
        <v>31</v>
      </c>
      <c r="H208" t="n">
        <v>0.847</v>
      </c>
      <c r="I208" t="n">
        <v>0.147</v>
      </c>
      <c r="J208" t="n">
        <v>7.952</v>
      </c>
      <c r="K208" t="inlineStr">
        <is>
          <t>US ban on Canadian alcohol and dairy takes effect as trade war drags on - BBC</t>
        </is>
      </c>
      <c r="L208" t="inlineStr">
        <is>
          <t>https://news.google.com/rss/articles/CBMiW0FVX3lxTE5JMVJIVF9zTWREN1pOVjNTSFFFWHBuai1nbkMtcHNuY3JOTWhUODg5UTBDUWE0VFU3MFFNNjBxb2FNVzh6UElMd001ZEx2Tm05dEdiUHBpS19LMDA?oc=5</t>
        </is>
      </c>
      <c r="M208" t="inlineStr">
        <is>
          <t>Trump uses Depression-era law to ban Canadian alcohol in trade war escalation - WRTV</t>
        </is>
      </c>
      <c r="N20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8" t="inlineStr">
        <is>
          <t>US to lift Mexico cattle ban to combat high beef prices - Supply Chain Dive</t>
        </is>
      </c>
      <c r="P20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8" t="inlineStr">
        <is>
          <t>vader</t>
        </is>
      </c>
      <c r="R208" t="inlineStr">
        <is>
          <t>Toys Included in New U.S.-China Tariff Relief Agreement - The Toy Book</t>
        </is>
      </c>
      <c r="S20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8" t="inlineStr">
        <is>
          <t>Trump welcomes Xi to Washington as US, China agree to extend trade truce - Al Jazeera</t>
        </is>
      </c>
      <c r="U20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8" t="inlineStr">
        <is>
          <t>U.S. and China Strike Agreement for $60 Billion in Tariff Relief - Modaes</t>
        </is>
      </c>
      <c r="W20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9">
      <c r="A209" t="inlineStr">
        <is>
          <t>2026-10-01T15:24:22+00:00</t>
        </is>
      </c>
      <c r="B209" t="inlineStr">
        <is>
          <t>2026-10-01</t>
        </is>
      </c>
      <c r="C209" t="inlineStr">
        <is>
          <t>Middle East Oil Risk</t>
        </is>
      </c>
      <c r="D209" t="n">
        <v>48</v>
      </c>
      <c r="E209" t="n">
        <v>0.516</v>
      </c>
      <c r="F209" t="n">
        <v>-0.436</v>
      </c>
      <c r="G209" t="n">
        <v>28</v>
      </c>
      <c r="H209" t="n">
        <v>0.829</v>
      </c>
      <c r="I209" t="n">
        <v>-0.08</v>
      </c>
      <c r="J209" t="n">
        <v>21.578</v>
      </c>
      <c r="K209" t="inlineStr">
        <is>
          <t>How the Iran war unfolded: every attack and oil price change – visualised | US-Israel war on Iran - The Guardian</t>
        </is>
      </c>
      <c r="L20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9" t="inlineStr">
        <is>
          <t>Four crewmembers, two rescuers killed in Red Sea attack; U.S. strikes ship in Gulf of Oman - NBC News</t>
        </is>
      </c>
      <c r="N20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9" t="inlineStr">
        <is>
          <t>Israel-Hezbollah clashes kill 11 as Mideast conflict escalation gathers pace after U.S.-Iran strikes - CNBC</t>
        </is>
      </c>
      <c r="P2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9" t="inlineStr">
        <is>
          <t>vader</t>
        </is>
      </c>
      <c r="R209" t="inlineStr">
        <is>
          <t>Israel Violated Gaza Ceasefire Over 5,140 Times, Killing 1,421: Palestinian Authorities - Countercurrents.org</t>
        </is>
      </c>
      <c r="S209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9" t="inlineStr">
        <is>
          <t>Israeli attacks kill 6 Palestinians, injure 18 in Gaza despite ceasefire - Muslim Network TV</t>
        </is>
      </c>
      <c r="U209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9" t="inlineStr">
        <is>
          <t>Acting Special Coordinator for the Middle East Peace Process's remarks at the Security Council on the Report of the Secretary-General on the Implementation of UNSCR 2334 [as delivered] - DPPA</t>
        </is>
      </c>
      <c r="W20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0">
      <c r="A210" t="inlineStr">
        <is>
          <t>2026-10-01T15:24:22+00:00</t>
        </is>
      </c>
      <c r="B210" t="inlineStr">
        <is>
          <t>2026-10-01</t>
        </is>
      </c>
      <c r="C210" t="inlineStr">
        <is>
          <t>Macroeconomic Interventions</t>
        </is>
      </c>
      <c r="D210" t="n">
        <v>40</v>
      </c>
      <c r="E210" t="n">
        <v>0.361</v>
      </c>
      <c r="F210" t="n">
        <v>0.031</v>
      </c>
      <c r="G210" t="n">
        <v>32</v>
      </c>
      <c r="H210" t="n">
        <v>0.314</v>
      </c>
      <c r="I210" t="n">
        <v>0.051</v>
      </c>
      <c r="J210" t="n">
        <v>-8.237</v>
      </c>
      <c r="K210" t="inlineStr">
        <is>
          <t>Bitcoin posts surprise rally as currency nears $70,000 for the first time since June - fortune.com</t>
        </is>
      </c>
      <c r="L21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0" t="inlineStr">
        <is>
          <t>UAE injects $8bn into banking system as liquidity falls - thebanker.com</t>
        </is>
      </c>
      <c r="N2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0" t="inlineStr">
        <is>
          <t>Hearing on "Interest on Reserves Payments" - cato.org</t>
        </is>
      </c>
      <c r="P2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10" t="inlineStr">
        <is>
          <t>finbert</t>
        </is>
      </c>
      <c r="R210" t="inlineStr">
        <is>
          <t>U.S. Treasury yields surge to 24-year highs in global bond selloff - Yahoo Finance</t>
        </is>
      </c>
      <c r="S210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0" t="inlineStr">
        <is>
          <t>Shelved mega deals may help 'stabilize' the market - Bond Buyer</t>
        </is>
      </c>
      <c r="U21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0" t="inlineStr">
        <is>
          <t>BOJ's Split Vote on Rates Marks Most Hawkish Divide of Ueda Era - Bloomberg.com</t>
        </is>
      </c>
      <c r="W21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1">
      <c r="A211" t="inlineStr">
        <is>
          <t>2026-10-01T15:24:22+00:00</t>
        </is>
      </c>
      <c r="B211" t="inlineStr">
        <is>
          <t>2026-10-01</t>
        </is>
      </c>
      <c r="C211" t="inlineStr">
        <is>
          <t>Trade Wars &amp; Escalations</t>
        </is>
      </c>
      <c r="D211" t="n">
        <v>40</v>
      </c>
      <c r="E211" t="n">
        <v>0.67</v>
      </c>
      <c r="F211" t="n">
        <v>-0.278</v>
      </c>
      <c r="G211" t="n">
        <v>32</v>
      </c>
      <c r="H211" t="n">
        <v>0.865</v>
      </c>
      <c r="I211" t="n">
        <v>0.118</v>
      </c>
      <c r="J211" t="n">
        <v>7.674</v>
      </c>
      <c r="K211" t="inlineStr">
        <is>
          <t>US ban on Canadian alcohol and dairy takes effect as trade war drags on - BBC</t>
        </is>
      </c>
      <c r="L211" t="inlineStr">
        <is>
          <t>https://news.google.com/rss/articles/CBMiW0FVX3lxTE5JMVJIVF9zTWREN1pOVjNTSFFFWHBuai1nbkMtcHNuY3JOTWhUODg5UTBDUWE0VFU3MFFNNjBxb2FNVzh6UElMd001ZEx2Tm05dEdiUHBpS19LMDA?oc=5</t>
        </is>
      </c>
      <c r="M211" t="inlineStr">
        <is>
          <t>Trump uses Depression-era law to ban Canadian alcohol in trade war escalation - WRTV</t>
        </is>
      </c>
      <c r="N21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1" t="inlineStr">
        <is>
          <t>Trump says he'll impose new 50% tariffs on Canadian cars and steel in January, escalating trade war - ABC7 San Francisco</t>
        </is>
      </c>
      <c r="P211" t="inlineStr">
        <is>
          <t>https://news.google.com/rss/articles/CBMilwpBVV95cUxOM2NTOGl5OGh6c2F3WkNMQm14LUd1bl9fbnNvQkJETHpCWm9YX0xzbWs0bXhaMHZxRDdTZnc4RlZMdkhXNXR3TmxIS3ZUM3hleTQtTGVvOGNTcE8yNjJEajRFN1BWRW95bjJBR0FhX28wMjdOaGFKb0JrU1VCN25RMzZRaElNMHVFdlNlOEZIemNTU3NDeEpOcGV0U3FTelN4aklkUWFPTGd2Y0ZpVGMyUmkwMGhmc1NSUmFUR1Vyc1pWXzV1SHFSR2pHcW5IS1hyTjk0NnNhODI2LVJGd3VqME1qZmRESTFnOE1kYVhjU2gtMjFJZlRaU0NfSWREUjV3NUQwRjVVTWx4RTFCZWJnZFRUOGlFNENqa3Z6bWxPa3I3NHlWWFZob1Z5VUQyTG01cWtob2ttczdEWFJvaGFjTkJDNExSODdZM21kZG1NbGRZTnhiNFhubWpuYXRsSHZNVk41djFLaUdrT1I2NGtFVFR1QTlnQ1Z1N3ZONUJPb1VHbXF1Z1l1c3d5YkJFZXY0b1BWMVYxM1R0WkZFVWY1TmFOcVFSNG5JdE1JSFdYQjZrOEE1TGV3aGFlRTZTenVGRDNiLXBQU3cwMTJFT3ZaZ19zOUo3eXhjQU9UNzI4bEJSRWxEZnJITF9tVUFwY082YnJTcnJuUEQ3MEpDbUhvQWVTOU94MlhaUGxjclc4MXFRbGZLNmZlZS11NzRSQURXTWdwVE5oZlRUM3ZsemNGVnNLNjQ3b0YyTVI4Xy1qQjBnMm1XdkRBNVdpaC1QWk5SZV9GekJMLUluR3JrNzZMNWsySWxLU3loMHpHQjV6TmUtVFpGT3BVUmJEekpLNUZmOEMwbDM5MWpmY0R0dnhxU3c2U0ZlR2M4d2VnRUlOV1VXSXY5aVl6MkRWbldmSWtWS1hCUW9mMDhwV2VxYVVleXFLRWFDT3Zmck9hQ2htdlljZ0U0WVRsWTlNNEswa0hZaU1KdHVEMjUwaGdBODRYZndwejdtclp4VWtBeHFGOXRiRTNNMGplUlNUdVl2RnZkVUV5QmtJaXlnTVFCYXlQaWVrejdVZEliUzNVUkphUlVpODAyNG44TUFmcmIxeFl2YS00Zzc5NkFidExZaXBrZGhTNVpydmNBekl0SVBKZS1OTWZ6MzNkWXFpWGpvUkUxNjBpbFFPRHNJMzdUMDkwZGxzZHYtX1ZnbVRzZTFUR2xyVFhiOFpocTE1dDR2R3YwZktRWXRNMWszbU9tNjY5RGhXV0h3NlRhMVRHeW5DOS1OT0poWm1aOXRObzcwdXlwZlF2OG9neE1QZm1XaFpUcy1wMmc0aDdXdVJFUDZnRmVfQndybnZtZmtQS2xCMmZKamZnM0ZZWXFQb1NoYVEzSEVDZ0l0dVhyUEIzcG1ITE1hTU9CY3NhcUx2Z09vbEdIb2VuTUFxNnBMSmdTRDhvNUNiTHpxNDJvc3ZUZUwxRldYM0phWTd4N1dRNDl4aWFKREdzSDcxbzlCQUxvcG9hUTIxM0FYT045WWZMaEIzVzBMYTMwWUVyd2lWU0FWTDRGYmNvSnd4QUN6VHl4eXRRQ3JJdXZaVVRPdDR4c3RoYzV6SXFPOFBZc2NrQThlZDRJRDlHbm1jcFNBNXotX2w2alpyN09NWS1HMVBLcE43V1d4dVZ2bXV5clpRWWRmajdoYkhLWWNZaHJFZ1Fuci1jMGloWnNYTkdheG1tYXkzS3laS1dfM2tr?oc=5</t>
        </is>
      </c>
      <c r="Q211" t="inlineStr">
        <is>
          <t>vader</t>
        </is>
      </c>
      <c r="R211" t="inlineStr">
        <is>
          <t>Toys Included in New U.S.-China Tariff Relief Agreement - The Toy Book</t>
        </is>
      </c>
      <c r="S21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1" t="inlineStr">
        <is>
          <t>Trump welcomes Xi to Washington as US, China agree to extend trade truce - Al Jazeera</t>
        </is>
      </c>
      <c r="U211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1" t="inlineStr">
        <is>
          <t>U.S. and China Strike Agreement for $60 Billion in Tariff Relief - Modaes</t>
        </is>
      </c>
      <c r="W21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2">
      <c r="A212" t="inlineStr">
        <is>
          <t>2026-10-01T21:00:01+00:00</t>
        </is>
      </c>
      <c r="B212" t="inlineStr">
        <is>
          <t>2026-10-01</t>
        </is>
      </c>
      <c r="C212" t="inlineStr">
        <is>
          <t>Middle East Oil Risk</t>
        </is>
      </c>
      <c r="D212" t="n">
        <v>48</v>
      </c>
      <c r="E212" t="n">
        <v>0.535</v>
      </c>
      <c r="F212" t="n">
        <v>-0.365</v>
      </c>
      <c r="G212" t="n">
        <v>28</v>
      </c>
      <c r="H212" t="n">
        <v>0.718</v>
      </c>
      <c r="I212" t="n">
        <v>-0.096</v>
      </c>
      <c r="J212" t="n">
        <v>20.102</v>
      </c>
      <c r="K212" t="inlineStr">
        <is>
          <t>How the Iran war unfolded: every attack and oil price change – visualised | US-Israel war on Iran - The Guardian</t>
        </is>
      </c>
      <c r="L21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2" t="inlineStr">
        <is>
          <t>Four crewmembers, two rescuers killed in Red Sea attack; U.S. strikes ship in Gulf of Oman - NBC News</t>
        </is>
      </c>
      <c r="N21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2" t="inlineStr">
        <is>
          <t>Israel-Hezbollah clashes kill 11 as Mideast conflict escalation gathers pace after U.S.-Iran strikes - cnbc.com</t>
        </is>
      </c>
      <c r="P21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2" t="inlineStr">
        <is>
          <t>vader</t>
        </is>
      </c>
      <c r="R212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12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12" t="inlineStr">
        <is>
          <t>Israel Violated Gaza Ceasefire Over 5,140 Times, Killing 1,421: Palestinian Authorities - Countercurrents.org</t>
        </is>
      </c>
      <c r="U212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12" t="inlineStr">
        <is>
          <t>Israeli attacks kill 6 Palestinians, injure 18 in Gaza despite ceasefire - Muslim Network TV</t>
        </is>
      </c>
      <c r="W212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13">
      <c r="A213" t="inlineStr">
        <is>
          <t>2026-10-01T21:00:01+00:00</t>
        </is>
      </c>
      <c r="B213" t="inlineStr">
        <is>
          <t>2026-10-01</t>
        </is>
      </c>
      <c r="C213" t="inlineStr">
        <is>
          <t>Macroeconomic Interventions</t>
        </is>
      </c>
      <c r="D213" t="n">
        <v>40</v>
      </c>
      <c r="E213" t="n">
        <v>0.383</v>
      </c>
      <c r="F213" t="n">
        <v>0.074</v>
      </c>
      <c r="G213" t="n">
        <v>32</v>
      </c>
      <c r="H213" t="n">
        <v>0.083</v>
      </c>
      <c r="I213" t="n">
        <v>0.068</v>
      </c>
      <c r="J213" t="n">
        <v>-4.989</v>
      </c>
      <c r="K213" t="inlineStr">
        <is>
          <t>Bitcoin posts surprise rally as currency nears $70,000 for the first time since June - fortune.com</t>
        </is>
      </c>
      <c r="L21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3" t="inlineStr">
        <is>
          <t>Japanese Yen recovers as intervention risk offsets US Dollar strength - FXStreet</t>
        </is>
      </c>
      <c r="N213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3" t="inlineStr">
        <is>
          <t>UAE injects $8bn into banking system as liquidity falls - thebanker.com</t>
        </is>
      </c>
      <c r="P21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3" t="inlineStr">
        <is>
          <t>finbert</t>
        </is>
      </c>
      <c r="R213" t="inlineStr">
        <is>
          <t>U.S. Treasury yields surge to 24-year highs in global bond selloff - Yahoo Finance</t>
        </is>
      </c>
      <c r="S213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3" t="inlineStr">
        <is>
          <t>Shelved mega deals may help 'stabilize' the market - Bond Buyer</t>
        </is>
      </c>
      <c r="U21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3" t="inlineStr">
        <is>
          <t>BOJ's Split Vote on Rates Marks Most Hawkish Divide of Ueda Era - Bloomberg.com</t>
        </is>
      </c>
      <c r="W21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4">
      <c r="A214" t="inlineStr">
        <is>
          <t>2026-10-01T21:00:01+00:00</t>
        </is>
      </c>
      <c r="B214" t="inlineStr">
        <is>
          <t>2026-10-01</t>
        </is>
      </c>
      <c r="C214" t="inlineStr">
        <is>
          <t>Trade Wars &amp; Escalations</t>
        </is>
      </c>
      <c r="D214" t="n">
        <v>40</v>
      </c>
      <c r="E214" t="n">
        <v>0.664</v>
      </c>
      <c r="F214" t="n">
        <v>-0.286</v>
      </c>
      <c r="G214" t="n">
        <v>32</v>
      </c>
      <c r="H214" t="n">
        <v>0.861</v>
      </c>
      <c r="I214" t="n">
        <v>0.118</v>
      </c>
      <c r="J214" t="n">
        <v>7.823</v>
      </c>
      <c r="K214" t="inlineStr">
        <is>
          <t>US ban on Canadian alcohol and dairy takes effect as trade war drags on - BBC</t>
        </is>
      </c>
      <c r="L214" t="inlineStr">
        <is>
          <t>https://news.google.com/rss/articles/CBMiW0FVX3lxTE5JMVJIVF9zTWREN1pOVjNTSFFFWHBuai1nbkMtcHNuY3JOTWhUODg5UTBDUWE0VFU3MFFNNjBxb2FNVzh6UElMd001ZEx2Tm05dEdiUHBpS19LMDA?oc=5</t>
        </is>
      </c>
      <c r="M214" t="inlineStr">
        <is>
          <t>Trump uses Depression-era law to ban Canadian alcohol in trade war escalation - WRTV</t>
        </is>
      </c>
      <c r="N21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4" t="inlineStr">
        <is>
          <t>Trump says he'll impose new 50% tariffs on Canadian cars and steel in January, escalating trade war - ABC7 San Francisco</t>
        </is>
      </c>
      <c r="P214" t="inlineStr">
        <is>
          <t>https://news.google.com/rss/articles/CBMi-hJBVV95cUxPVzl5NjUzaDA4SFBlZm5zQ1d0dHpacHZQdDFCY1BiWnU5V05VaGxlemZCZXhIMGlkM1FNTVdiY2dlQkp5WWpzeFJWX1BFWUZvejVUTDlybV94MmRzSFhfQ2pRSkZFNzZQcjZTQVh6UW9IeXhFSFJSNXJRVGFCdVRramFCTVl3NzFLTXlUYkZtRlNIU2hPOFMzWXNNczlGRkRTb2lsTmFmYVZzRHlfRHR6a1d5VWMyTEYzbHAtS21yQ3IyaXdXODlSU3poc2JRSmJHNWpzM3FHQ1RKc0lzSWxuVThzUWhEa2ZJRGlLakd1LVM5VkJkT0U2Ml9GTXZMVHNNU1BkWGRjcnB3MHRzNEdKazl6cVVRU1lHNlBXWmlLTnZfaG0xdWt2Q3VwVmc0T2tmYmgtMGlOelYydk1jMU1YcG9oV0NuLW9Dd2NHR3d3NTZ1NkZqUnBGTnNBbGcxNE5qZWd4U1F0SHdkd2t2ekJnNjZZYlVuYm5KOTN1dTVVTWQ1MXFPWlo5c2doeDJRTU9pY0dKNFhpTDViVF91QUVMQlVzVVlNMTVLVE5FeUpuU2d1YXdQQkIxZzRLYi12c0FkWkZXLTZpaHNmc1QxZkhaUUxkOXdPMTB5UGtSLTZMZWI3TXMtR2VSWnNuSG9iZm85cHJPaTNiMkxuZDBnbnJiVnNFaFFwWFRiY1lnSUYyNTRVTWh0SDZZUHJhNElubm42cTZmSEdoVDlZVlZHamtrMHh4Rmgta1B0ZHVhRmxhWE4wR3A0eWFaa2pIYklsZW90TFo2TThSZWhYSTc0d0g4U1dRNmdwSWdFeGxXZnVWd1VvVEx5UHEtaXlOMy1RdU0tTnJrUTdHYjVsU1hyUUhIQlUzdkUzak1oWGw5VzhwMVhRRDVJdGwzdEc5UlBWQ0ZpMkUxTDExSUwwMm8wemVSMmJZcXRqRDRkMlVkVi04c0xuemc4MlQyNlJIWFdpMjRkeVNfTk5YS1MtSW83YzdfRjRSS1ZfUEFPcWd1ZkdpSE83andpdW1PNUczUS1TV09TcGRfZWJFYmFUczJLa0k2QTVFMU96dnhtRXZ2T0ZLSDZsZFo1LXRLYjN4Nzlicnc2QjlqbkR2V0d2cVlNSFRldWd0VFVLZlFpNFMwMHN3QXVqOXQtaHI4b0dJcFQyclkyaWxRLW1sRlVOVUViRERfNTJra2RTaG1RSTlib2k0UjdKcHJhUHkzaTNFTnFLR1I5MG9xODZaaURfcWVpMVJkNDBIdWRSc2ZJZGJENUpQcXNHbkljUTg4MDJHWDUtZXVJWGFCVExRSlFFZ2ZZUUM0bkhMZTNHNGlXemV2NUJseG5EaFhMX3pXRW9XeU9lQ3FCT2JMRHhZNHNOSzlER0JIQ2FxQklvWkV0VW8wbzhjSWhCTGlHbjlnbENNTVdnQzI3VDdGSDJLajc0dUYyb2Ezdk5rVHFqaXVGdGxETmhXMk1vZlluclBMVGg3M3FzOHd2SExLUV9lUURaUU9jMDYtWUpyeXdSMUNTVjBoakdBREhKY0lxY2lFbUl0WUM2OFBNODVlX1pYMm9RMnJWR3lKMElYMnZ6LU1pV3RxdzNUNkd2eGVsMDgxWS00UmhXZjRwR09LX0xaTXBuYWJtcDd3STFFVkVSR1hiQm1rRnVTN0dyYWJIYUFyRl9FOVlnUDBqQ25EWlRTSGZmbGRQQmhWbVc1cS16R25nQVd3T19OalNDclVpOVNRbDRhaFBGelhpZm83Ml9TbnRQcXVreWJ2cEY5WDFHQVlKaloxU08wbkl1ZnBjNWVMT2lCZkEtc05Nd1YtUDgzdzI3bzdpYm5ublU2U2xrSzRMOFFTbC0tRy1DbU4yM19oWkp3TldXd1ZoeHZYQXZnYVZ1bUhLNENhWVlvZG1INk9hSzB4OGtqMjNZNFJqeE9ZUUE2RV84M1JobkxUWDhZNnZVM3pVMVNkQ0x6QXVaSzJFQlA3TjgxOTlaS1kzdGlOVDJsVFRBM0ZBOTR0cC10TWI1TFdoN2xuRmRSUnYtYXVPckRaQzhuNldnaUlyUnZmcm5yNVZfUG1SSHRiTUg2QWZCQ19MSnBNTjZ2YUZlLUlUanFyRFlsd3JpWlNEdEJKOTJqY0VXX1ZjVUNTdEdfQkRlVGpzRmtYdjFUQjU1cnZUTjkxX0tJZkdWT2pqRF9WaFpCRS1zbFZjOHhfZEE2bmZCMjRaTkM4QnNLckNGYlBKaGxmdU9DazM1YTJ0ZkRWTmxIWHhvQUZiMXlUYkc2OE5UTGxFVmd5bTJUWXp1UkFiaHgwLW9HQUVSXzRGOEZOZlRxVDlKVVJDU0dDQTdJcWptZkNxUUlURC1RYzFPeF9UZlo5VkN1MFdMOTVNZWVMT0FFYkdqUVYtLVd4MHZOVFNPRGRmcXJOaTlMTXdZVS1Bd0ZuMGxwOG5rNDFielYzQ0VsVzUwcVM1VlY0VHBVMVptY2YxbV81ZGNpVVQ4MVF4REthczk1WlB5d1VMb25ud1BoekV0cmhpbVdURmk4eW0wOVpFV0c1bmVrSVBsNEs4TzN5aktGcUlZS245T2hfUDNYRkpCUzF1OGRDM2VGWUFGa3ZNTHNxRG1zR1R6NjdMbEJaTzBpeS05dl9lVHV6eXZvdXJvTnR6SlhRdFB1ZTIzWC1BLTlIdTRZUGRSdk9tckhYZVU0aWFidGZSNkdMTEg0UHhBbVdodzNiLTl2UWp4Q1JBN3k5czJ1TlRFUGNicjdZbmw5eUZkQ0doLWtOdGhqLU9kWnNmcmZ6dVVyZUNaMDRJT0VOaXJFVW1ZM0Z4cEYxVUdBYW5URGVzWmVZMmQtVVFpc19QT0xxUGU1UEk0elNKU3NvWkVDMFhfSFAxa1dOcUZGeFctY1I5U0t0WVJ6ZTJZYUFGRlZvb0E1MUg3UjZHWldKb2NaaXctUDhjX3JGZFlIWWFrc3lhRkhpNG5hcVVZYkRyQzJMTHNLQXpyQUtDR1JKeTlzdzdCcW9QOTVIZEJHc0pJbmtKT0R4NG9jWlVXdTlYalVQc3QwSThPMXV5eTQ3WjJUbDVwd29ON3JNb0VWck9mMEpiT2Mzekk3NlMxVjM0Nk9KNEozWGRaX1RPTW9mOUlNMFcwdjYtN0ZTMmZ1SjRYdk53aFN0UlBneW1aOUV3QWhqVzN2RGRCTFRCV1lYQjB3MkNJVnlvZ2NGaUpsV2hDYlZkcWE1WXh3NHIzVjFyc2ZHbTJPM1ctdw?oc=5</t>
        </is>
      </c>
      <c r="Q214" t="inlineStr">
        <is>
          <t>vader</t>
        </is>
      </c>
      <c r="R214" t="inlineStr">
        <is>
          <t>Toys Included in New U.S.-China Tariff Relief Agreement - The Toy Book</t>
        </is>
      </c>
      <c r="S21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4" t="inlineStr">
        <is>
          <t>Trump welcomes Xi to Washington as US, China agree to extend trade truce - Al Jazeera</t>
        </is>
      </c>
      <c r="U214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4" t="inlineStr">
        <is>
          <t>U.S. and China Strike Agreement for $60 Billion in Tariff Relief - Modaes</t>
        </is>
      </c>
      <c r="W21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5">
      <c r="A215" t="inlineStr">
        <is>
          <t>2026-10-02T05:25:30+00:00</t>
        </is>
      </c>
      <c r="B215" t="inlineStr">
        <is>
          <t>2026-10-02</t>
        </is>
      </c>
      <c r="C215" t="inlineStr">
        <is>
          <t>Middle East Oil Risk</t>
        </is>
      </c>
      <c r="D215" t="n">
        <v>48</v>
      </c>
      <c r="E215" t="n">
        <v>0.471</v>
      </c>
      <c r="F215" t="n">
        <v>-0.377</v>
      </c>
      <c r="G215" t="n">
        <v>28</v>
      </c>
      <c r="H215" t="n">
        <v>0.756</v>
      </c>
      <c r="I215" t="n">
        <v>-0.032</v>
      </c>
      <c r="J215" t="n">
        <v>19.485</v>
      </c>
      <c r="K215" t="inlineStr">
        <is>
          <t>How the Iran war unfolded: every attack and oil price change – visualised | US-Israel war on Iran - The Guardian</t>
        </is>
      </c>
      <c r="L21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5" t="inlineStr">
        <is>
          <t>Four crewmembers, two rescuers killed in Red Sea attack; U.S. strikes ship in Gulf of Oman - NBC News</t>
        </is>
      </c>
      <c r="N21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5" t="inlineStr">
        <is>
          <t>Israel-Hezbollah clashes kill 11 as Mideast conflict escalation gathers pace after U.S.-Iran strikes - CNBC</t>
        </is>
      </c>
      <c r="P21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5" t="inlineStr">
        <is>
          <t>vader</t>
        </is>
      </c>
      <c r="R215" t="inlineStr">
        <is>
          <t>Israel Violated Gaza Ceasefire Over 5,140 Times, Killing 1,421: Palestinian Authorities - Countercurrents.org</t>
        </is>
      </c>
      <c r="S215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15" t="inlineStr">
        <is>
          <t>Israeli attacks kill 6 Palestinians, injure 18 in Gaza despite ceasefire - Muslim Network TV</t>
        </is>
      </c>
      <c r="U215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15" t="inlineStr">
        <is>
          <t>Acting Special Coordinator for the Middle East Peace Process's remarks at the Security Council on the Report of the Secretary-General on the Implementation of UNSCR 2334 [as delivered] - DPPA</t>
        </is>
      </c>
      <c r="W21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6">
      <c r="A216" t="inlineStr">
        <is>
          <t>2026-10-02T05:25:30+00:00</t>
        </is>
      </c>
      <c r="B216" t="inlineStr">
        <is>
          <t>2026-10-02</t>
        </is>
      </c>
      <c r="C216" t="inlineStr">
        <is>
          <t>Macroeconomic Interventions</t>
        </is>
      </c>
      <c r="D216" t="n">
        <v>40</v>
      </c>
      <c r="E216" t="n">
        <v>0.3</v>
      </c>
      <c r="F216" t="n">
        <v>0.051</v>
      </c>
      <c r="G216" t="n">
        <v>32</v>
      </c>
      <c r="H216" t="n">
        <v>0.287</v>
      </c>
      <c r="I216" t="n">
        <v>0.117</v>
      </c>
      <c r="J216" t="n">
        <v>-6.588</v>
      </c>
      <c r="K216" t="inlineStr">
        <is>
          <t>Bitcoin posts surprise rally as currency nears $70,000 for the first time since June - fortune.com</t>
        </is>
      </c>
      <c r="L21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6" t="inlineStr">
        <is>
          <t>Japanese Yen recovers as intervention risk offsets US Dollar strength - fxstreet.com</t>
        </is>
      </c>
      <c r="N216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6" t="inlineStr">
        <is>
          <t>UAE injects $8bn into banking system as liquidity falls - thebanker.com</t>
        </is>
      </c>
      <c r="P21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6" t="inlineStr">
        <is>
          <t>finbert</t>
        </is>
      </c>
      <c r="R216" t="inlineStr">
        <is>
          <t>Shelved mega deals may help 'stabilize' the market - Bond Buyer</t>
        </is>
      </c>
      <c r="S21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6" t="inlineStr">
        <is>
          <t>Global Markets Stabilize as Bond Sell-off Eases Amid Inflation C - GuruFocus</t>
        </is>
      </c>
      <c r="U216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6" t="inlineStr">
        <is>
          <t>Bessent calls Treasury bond buyback successful, reiterates he has tools to stabilize bond market - Yahoo Finance</t>
        </is>
      </c>
      <c r="W21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17">
      <c r="A217" t="inlineStr">
        <is>
          <t>2026-10-02T05:25:30+00:00</t>
        </is>
      </c>
      <c r="B217" t="inlineStr">
        <is>
          <t>2026-10-02</t>
        </is>
      </c>
      <c r="C217" t="inlineStr">
        <is>
          <t>Trade Wars &amp; Escalations</t>
        </is>
      </c>
      <c r="D217" t="n">
        <v>40</v>
      </c>
      <c r="E217" t="n">
        <v>0.652</v>
      </c>
      <c r="F217" t="n">
        <v>-0.311</v>
      </c>
      <c r="G217" t="n">
        <v>32</v>
      </c>
      <c r="H217" t="n">
        <v>0.922</v>
      </c>
      <c r="I217" t="n">
        <v>0.126</v>
      </c>
      <c r="J217" t="n">
        <v>8.204000000000001</v>
      </c>
      <c r="K217" t="inlineStr">
        <is>
          <t>'A ban takes demand to zero overnight': How the latest U.S. trade war retaliation hits Canadian businesses - Yahoo! Finance Canada</t>
        </is>
      </c>
      <c r="L21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17" t="inlineStr">
        <is>
          <t>US ban on Canadian alcohol and dairy takes effect as trade war drags on - bbc.com</t>
        </is>
      </c>
      <c r="N217" t="inlineStr">
        <is>
          <t>https://news.google.com/rss/articles/CBMiW0FVX3lxTE5JMVJIVF9zTWREN1pOVjNTSFFFWHBuai1nbkMtcHNuY3JOTWhUODg5UTBDUWE0VFU3MFFNNjBxb2FNVzh6UElMd001ZEx2Tm05dEdiUHBpS19LMDA?oc=5</t>
        </is>
      </c>
      <c r="O217" t="inlineStr">
        <is>
          <t>Trump uses Depression-era law to ban Canadian alcohol in trade war escalation - WRTV</t>
        </is>
      </c>
      <c r="P21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17" t="inlineStr">
        <is>
          <t>vader</t>
        </is>
      </c>
      <c r="R217" t="inlineStr">
        <is>
          <t>Toys Included in New U.S.-China Tariff Relief Agreement - The Toy Book</t>
        </is>
      </c>
      <c r="S21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7" t="inlineStr">
        <is>
          <t>Trump welcomes Xi to Washington as US, China agree to extend trade truce - Al Jazeera</t>
        </is>
      </c>
      <c r="U217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7" t="inlineStr">
        <is>
          <t>U.S. and China Strike Agreement for $60 Billion in Tariff Relief - Modaes</t>
        </is>
      </c>
      <c r="W21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8">
      <c r="A218" t="inlineStr">
        <is>
          <t>2026-10-02T14:42:25+00:00</t>
        </is>
      </c>
      <c r="B218" t="inlineStr">
        <is>
          <t>2026-10-02</t>
        </is>
      </c>
      <c r="C218" t="inlineStr">
        <is>
          <t>Middle East Oil Risk</t>
        </is>
      </c>
      <c r="D218" t="n">
        <v>47</v>
      </c>
      <c r="E218" t="n">
        <v>0.443</v>
      </c>
      <c r="F218" t="n">
        <v>-0.414</v>
      </c>
      <c r="G218" t="n">
        <v>30</v>
      </c>
      <c r="H218" t="n">
        <v>0.791</v>
      </c>
      <c r="I218" t="n">
        <v>0.04</v>
      </c>
      <c r="J218" t="n">
        <v>17.636</v>
      </c>
      <c r="K218" t="inlineStr">
        <is>
          <t>Iran war live: EU rejects Trump’s diesel demand amid Iran war shortages - Al Jazeera</t>
        </is>
      </c>
      <c r="L218" t="inlineStr">
        <is>
          <t>https://news.google.com/rss/articles/CBMivgFBVV95cUxNUC1tREkzTk9ydXdTMXFqZzAzMzlCZWN2N2RnVG5WM0V3Z3ZBblk0SkI4bkJ2ZXhmQXBsZFFVajMwVWdNRi1SUmNfRWJwZENIcEZtM1BaZVU2blVWLXhkMUhtdXI0SklvQm1vU1BEVXJlZFg5TDQwcU5EeGpqME9Yalk4RFUxSWJtZ3pyTmxRM2hZaFRNZUI0ZEVhWE9IdmdOalB4LWs0cXlkU29GLV90dFNTbzFXNGxlNUhTV3hB0gHDAUFVX3lxTE81ZkY5SzJvZG1CTnB0NzcyT1FleFBfZUIzanRrSjROcXZUd1JVakZQV3Fhc0U1SXRQMllyZkZrN2ppSU02NmZlT3pXMWlFelRNQU9MX0dRRmJRTGJRa1JyMDdkTy1FZHhsd2xLRVR4Y25UeVJ1QV9uY3UydUJsQUdtSS1nR1lqRTlZZmZ3ZEVhRERtdE5SekFHQVZubjFMODNld2lETXc0Q0tvUDE4VTlQTmR2U3pqREJBczBpSE9QNjg4cw?oc=5</t>
        </is>
      </c>
      <c r="M218" t="inlineStr">
        <is>
          <t>Four crewmembers, two rescuers killed in Red Sea attack; U.S. strikes ship in Gulf of Oman - NBC News</t>
        </is>
      </c>
      <c r="N21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8" t="inlineStr">
        <is>
          <t>Israel-Hezbollah clashes kill 11 as Mideast conflict escalation gathers pace after U.S.-Iran strikes - CNBC</t>
        </is>
      </c>
      <c r="P21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8" t="inlineStr">
        <is>
          <t>vader</t>
        </is>
      </c>
      <c r="R218" t="inlineStr">
        <is>
          <t>Israeli attacks kill 6 Palestinians, injure 18 in Gaza despite ceasefire - Muslim Network TV</t>
        </is>
      </c>
      <c r="S218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18" t="inlineStr">
        <is>
          <t>Acting Special Coordinator for the Middle East Peace Process's remarks at the Security Council on the Report of the Secretary-General on the Implementation of UNSCR 2334 [as delivered] - DPPA</t>
        </is>
      </c>
      <c r="U21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18" t="inlineStr">
        <is>
          <t>Israeli strikes kill Gaza woman, injure 5 despite ceasefire - Yeni Şafak English</t>
        </is>
      </c>
      <c r="W218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19">
      <c r="A219" t="inlineStr">
        <is>
          <t>2026-10-02T14:42:25+00:00</t>
        </is>
      </c>
      <c r="B219" t="inlineStr">
        <is>
          <t>2026-10-02</t>
        </is>
      </c>
      <c r="C219" t="inlineStr">
        <is>
          <t>Macroeconomic Interventions</t>
        </is>
      </c>
      <c r="D219" t="n">
        <v>40</v>
      </c>
      <c r="E219" t="n">
        <v>0.37</v>
      </c>
      <c r="F219" t="n">
        <v>0.098</v>
      </c>
      <c r="G219" t="n">
        <v>32</v>
      </c>
      <c r="H219" t="n">
        <v>0.272</v>
      </c>
      <c r="I219" t="n">
        <v>0.126</v>
      </c>
      <c r="J219" t="n">
        <v>-7.744</v>
      </c>
      <c r="K219" t="inlineStr">
        <is>
          <t>Bitcoin posts surprise rally as currency nears $70,000 for the first time since June - Fortune</t>
        </is>
      </c>
      <c r="L21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9" t="inlineStr">
        <is>
          <t>Federal Reserve Injects $13.5 Billion Into U.S. Banks - stl.news</t>
        </is>
      </c>
      <c r="N219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19" t="inlineStr">
        <is>
          <t>Japanese Yen recovers as intervention risk offsets US Dollar strength - FXStreet</t>
        </is>
      </c>
      <c r="P219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Q219" t="inlineStr">
        <is>
          <t>finbert</t>
        </is>
      </c>
      <c r="R219" t="inlineStr">
        <is>
          <t>Shelved mega deals may help 'stabilize' the market - Bond Buyer</t>
        </is>
      </c>
      <c r="S21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9" t="inlineStr">
        <is>
          <t>Global Markets Stabilize as Bond Sell-off Eases Amid Inflation C - GuruFocus</t>
        </is>
      </c>
      <c r="U219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9" t="inlineStr">
        <is>
          <t>Bessent calls Treasury bond buyback successful, reiterates he has tools to stabilize bond market - Yahoo Finance</t>
        </is>
      </c>
      <c r="W21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0">
      <c r="A220" t="inlineStr">
        <is>
          <t>2026-10-02T14:42:25+00:00</t>
        </is>
      </c>
      <c r="B220" t="inlineStr">
        <is>
          <t>2026-10-02</t>
        </is>
      </c>
      <c r="C220" t="inlineStr">
        <is>
          <t>Trade Wars &amp; Escalations</t>
        </is>
      </c>
      <c r="D220" t="n">
        <v>40</v>
      </c>
      <c r="E220" t="n">
        <v>0.604</v>
      </c>
      <c r="F220" t="n">
        <v>-0.341</v>
      </c>
      <c r="G220" t="n">
        <v>32</v>
      </c>
      <c r="H220" t="n">
        <v>0.879</v>
      </c>
      <c r="I220" t="n">
        <v>0.134</v>
      </c>
      <c r="J220" t="n">
        <v>8.667</v>
      </c>
      <c r="K220" t="inlineStr">
        <is>
          <t>'A ban takes demand to zero overnight': How the latest U.S. trade war retaliation hits Canadian businesses - Yahoo! Finance Canada</t>
        </is>
      </c>
      <c r="L22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0" t="inlineStr">
        <is>
          <t>US ban on Canadian alcohol and dairy takes effect as trade war drags on - BBC</t>
        </is>
      </c>
      <c r="N220" t="inlineStr">
        <is>
          <t>https://news.google.com/rss/articles/CBMiW0FVX3lxTE5JMVJIVF9zTWREN1pOVjNTSFFFWHBuai1nbkMtcHNuY3JOTWhUODg5UTBDUWE0VFU3MFFNNjBxb2FNVzh6UElMd001ZEx2Tm05dEdiUHBpS19LMDA?oc=5</t>
        </is>
      </c>
      <c r="O220" t="inlineStr">
        <is>
          <t>Trump uses Depression-era law to ban Canadian alcohol in trade war escalation - wrtv.com</t>
        </is>
      </c>
      <c r="P22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0" t="inlineStr">
        <is>
          <t>vader</t>
        </is>
      </c>
      <c r="R220" t="inlineStr">
        <is>
          <t>Toys Included in New U.S.-China Tariff Relief Agreement - toybook.com</t>
        </is>
      </c>
      <c r="S22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0" t="inlineStr">
        <is>
          <t>Trump welcomes Xi to Washington as US, China agree to extend trade truce - Al Jazeera</t>
        </is>
      </c>
      <c r="U22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0" t="inlineStr">
        <is>
          <t>U.S. and China Strike Agreement for $60 Billion in Tariff Relief - Modaes</t>
        </is>
      </c>
      <c r="W22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1">
      <c r="A221" t="inlineStr">
        <is>
          <t>2026-10-02T20:40:00+00:00</t>
        </is>
      </c>
      <c r="B221" t="inlineStr">
        <is>
          <t>2026-10-02</t>
        </is>
      </c>
      <c r="C221" t="inlineStr">
        <is>
          <t>Middle East Oil Risk</t>
        </is>
      </c>
      <c r="D221" t="n">
        <v>47</v>
      </c>
      <c r="E221" t="n">
        <v>0.465</v>
      </c>
      <c r="F221" t="n">
        <v>-0.419</v>
      </c>
      <c r="G221" t="n">
        <v>30</v>
      </c>
      <c r="H221" t="n">
        <v>0.722</v>
      </c>
      <c r="I221" t="n">
        <v>-0.044</v>
      </c>
      <c r="J221" t="n">
        <v>19.01</v>
      </c>
      <c r="K221" t="inlineStr">
        <is>
          <t>Four crewmembers, two rescuers killed in Red Sea attack; U.S. strikes ship in Gulf of Oman - NBC News</t>
        </is>
      </c>
      <c r="L22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1" t="inlineStr">
        <is>
          <t>Israel-Hezbollah clashes kill 11 as Mideast conflict escalation gathers pace after U.S.-Iran strikes - CNBC</t>
        </is>
      </c>
      <c r="N22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1" t="inlineStr">
        <is>
          <t>Rubio says US struck Iran fearing it would retaliate for Israeli attack - ABC News - Breaking News, Latest News and Videos</t>
        </is>
      </c>
      <c r="P221" t="inlineStr">
        <is>
          <t>https://news.google.com/rss/articles/CBMiowFBVV95cUxQbzJ1MnM3VFIyRWxoVEM5c25DbEVtYXlEajY3XzlqWjZIbVFCOXNlZC1lc1lxVnpxbkY5YmtUWE5jTUJnUjhzV2hyNlhNeU5JaVRFYW01VVZvVmJxNjZjUFQtZW1MRGtJc2lHdEtpOTNYYmM0WFRfWk9XYTA0NDdhR19zWktTT1h4ME91dWx1SFZacmVBMEZCLUdfNHltam5jcVlv0gGoAUFVX3lxTFBxUkduQU9kUjVvSnJ5b0ZlWVVBa0JkTjk5cGF5TTlFSzZaMXh1dEE3c1pvOVdDZU0xYmg1SFZEVU5HckVTUURnRmJKdi1NV29KdTlJSXNpYUVwbk8yMDJkU2RuM1VhUGY3Wi1ZSkI5VVRIcVdzcmtyWDdXYlhURGJJenZfLWdLOTNoZTFzZV9HWEE0cHUydHppM0s5Z05EdkRuUkRNZzFBdA?oc=5</t>
        </is>
      </c>
      <c r="Q221" t="inlineStr">
        <is>
          <t>vader</t>
        </is>
      </c>
      <c r="R221" t="inlineStr">
        <is>
          <t>Israeli attacks kill 6 Palestinians, injure 18 in Gaza despite ceasefire - Muslim Network TV</t>
        </is>
      </c>
      <c r="S221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1" t="inlineStr">
        <is>
          <t>Acting Special Coordinator for the Middle East Peace Process's remarks at the Security Council on the Report of the Secretary-General on the Implementation of UNSCR 2334 [as delivered] - DPPA</t>
        </is>
      </c>
      <c r="U22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1" t="inlineStr">
        <is>
          <t>Israeli strikes kill Gaza woman, injure 5 despite ceasefire - Yeni Şafak English</t>
        </is>
      </c>
      <c r="W221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2">
      <c r="A222" t="inlineStr">
        <is>
          <t>2026-10-02T20:40:00+00:00</t>
        </is>
      </c>
      <c r="B222" t="inlineStr">
        <is>
          <t>2026-10-02</t>
        </is>
      </c>
      <c r="C222" t="inlineStr">
        <is>
          <t>Macroeconomic Interventions</t>
        </is>
      </c>
      <c r="D222" t="n">
        <v>40</v>
      </c>
      <c r="E222" t="n">
        <v>0.283</v>
      </c>
      <c r="F222" t="n">
        <v>0.096</v>
      </c>
      <c r="G222" t="n">
        <v>32</v>
      </c>
      <c r="H222" t="n">
        <v>0.324</v>
      </c>
      <c r="I222" t="n">
        <v>0.098</v>
      </c>
      <c r="J222" t="n">
        <v>-6.842</v>
      </c>
      <c r="K222" t="inlineStr">
        <is>
          <t>Bitcoin posts surprise rally as currency nears $70,000 for the first time since June - Fortune</t>
        </is>
      </c>
      <c r="L22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2" t="inlineStr">
        <is>
          <t>UAE injects $8bn into banking system as liquidity falls - thebanker.com</t>
        </is>
      </c>
      <c r="N22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2" t="inlineStr">
        <is>
          <t>Appetite for US Bonds as Safe Haven Rebounds After Global Yields Spike - The Daily Upside</t>
        </is>
      </c>
      <c r="P22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2" t="inlineStr">
        <is>
          <t>finbert</t>
        </is>
      </c>
      <c r="R222" t="inlineStr">
        <is>
          <t>Shelved mega deals may help 'stabilize' the market - Bond Buyer</t>
        </is>
      </c>
      <c r="S22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2" t="inlineStr">
        <is>
          <t>Bessent calls Treasury bond buyback successful, reiterates he has tools to stabilize bond market - Yahoo Finance</t>
        </is>
      </c>
      <c r="U22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22" t="inlineStr">
        <is>
          <t>Federal Funds Rate History 1990 to 2026 - Forbes</t>
        </is>
      </c>
      <c r="W22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23">
      <c r="A223" t="inlineStr">
        <is>
          <t>2026-10-02T20:40:00+00:00</t>
        </is>
      </c>
      <c r="B223" t="inlineStr">
        <is>
          <t>2026-10-02</t>
        </is>
      </c>
      <c r="C223" t="inlineStr">
        <is>
          <t>Trade Wars &amp; Escalations</t>
        </is>
      </c>
      <c r="D223" t="n">
        <v>40</v>
      </c>
      <c r="E223" t="n">
        <v>0.652</v>
      </c>
      <c r="F223" t="n">
        <v>-0.33</v>
      </c>
      <c r="G223" t="n">
        <v>31</v>
      </c>
      <c r="H223" t="n">
        <v>0.875</v>
      </c>
      <c r="I223" t="n">
        <v>0.138</v>
      </c>
      <c r="J223" t="n">
        <v>8.946</v>
      </c>
      <c r="K223" t="inlineStr">
        <is>
          <t>'A ban takes demand to zero overnight': How the latest U.S. trade war retaliation hits Canadian businesses - Yahoo! Finance Canada</t>
        </is>
      </c>
      <c r="L22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3" t="inlineStr">
        <is>
          <t>US ban on Canadian alcohol and dairy takes effect as trade war drags on - BBC</t>
        </is>
      </c>
      <c r="N223" t="inlineStr">
        <is>
          <t>https://news.google.com/rss/articles/CBMiW0FVX3lxTE5JMVJIVF9zTWREN1pOVjNTSFFFWHBuai1nbkMtcHNuY3JOTWhUODg5UTBDUWE0VFU3MFFNNjBxb2FNVzh6UElMd001ZEx2Tm05dEdiUHBpS19LMDA?oc=5</t>
        </is>
      </c>
      <c r="O223" t="inlineStr">
        <is>
          <t>Trump uses Depression-era law to ban Canadian alcohol in trade war escalation - WRTV</t>
        </is>
      </c>
      <c r="P22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3" t="inlineStr">
        <is>
          <t>vader</t>
        </is>
      </c>
      <c r="R223" t="inlineStr">
        <is>
          <t>Toys Included in New U.S.-China Tariff Relief Agreement - The Toy Book</t>
        </is>
      </c>
      <c r="S22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3" t="inlineStr">
        <is>
          <t>Trump welcomes Xi to Washington as US, China agree to extend trade truce - Al Jazeera</t>
        </is>
      </c>
      <c r="U22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3" t="inlineStr">
        <is>
          <t>U.S. and China Strike Agreement for $60 Billion in Tariff Relief - Modaes</t>
        </is>
      </c>
      <c r="W22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4">
      <c r="A224" t="inlineStr">
        <is>
          <t>2026-10-03T05:08:34+00:00</t>
        </is>
      </c>
      <c r="B224" t="inlineStr">
        <is>
          <t>2026-10-03</t>
        </is>
      </c>
      <c r="C224" t="inlineStr">
        <is>
          <t>Middle East Oil Risk</t>
        </is>
      </c>
      <c r="D224" t="n">
        <v>47</v>
      </c>
      <c r="E224" t="n">
        <v>0.52</v>
      </c>
      <c r="F224" t="n">
        <v>-0.37</v>
      </c>
      <c r="G224" t="n">
        <v>30</v>
      </c>
      <c r="H224" t="n">
        <v>0.729</v>
      </c>
      <c r="I224" t="n">
        <v>-0.019</v>
      </c>
      <c r="J224" t="n">
        <v>17.494</v>
      </c>
      <c r="K224" t="inlineStr">
        <is>
          <t>Four crewmembers, two rescuers killed in Red Sea attack; U.S. strikes ship in Gulf of Oman - NBC News</t>
        </is>
      </c>
      <c r="L22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4" t="inlineStr">
        <is>
          <t>Israel-Hezbollah clashes kill 11 as Mideast conflict escalation gathers pace after U.S.-Iran strikes - CNBC</t>
        </is>
      </c>
      <c r="N22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4" t="inlineStr">
        <is>
          <t>Mounting pressure on Iran could lead to attack on Israel despite US peace talks - The Jerusalem Post</t>
        </is>
      </c>
      <c r="P224" t="inlineStr">
        <is>
          <t>https://news.google.com/rss/articles/CBMiakFVX3lxTFBpaHNGNEpLdFFJTXMyQ3NWSXVwTG8zZkVtY1EyanpoREFIRTdhdGRGZ3UyMTBkbTlQd1VWaGctc2lQdVo5SUlzVDdQZHdGQllCdnZWMzQzRExja040YlNsbjZqTmdjV2M1Wnc?oc=5</t>
        </is>
      </c>
      <c r="Q224" t="inlineStr">
        <is>
          <t>vader</t>
        </is>
      </c>
      <c r="R224" t="inlineStr">
        <is>
          <t>Israeli attacks kill 6 Palestinians, injure 18 in Gaza despite ceasefire - Muslim Network TV</t>
        </is>
      </c>
      <c r="S224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4" t="inlineStr">
        <is>
          <t>Acting Special Coordinator for the Middle East Peace Process's remarks at the Security Council on the Report of the Secretary-General on the Implementation of UNSCR 2334 [as delivered] - DPPA</t>
        </is>
      </c>
      <c r="U22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4" t="inlineStr">
        <is>
          <t>Israeli strikes kill Gaza woman, injure 5 despite ceasefire - en.yenisafak.com</t>
        </is>
      </c>
      <c r="W224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5">
      <c r="A225" t="inlineStr">
        <is>
          <t>2026-10-03T05:08:34+00:00</t>
        </is>
      </c>
      <c r="B225" t="inlineStr">
        <is>
          <t>2026-10-03</t>
        </is>
      </c>
      <c r="C225" t="inlineStr">
        <is>
          <t>Macroeconomic Interventions</t>
        </is>
      </c>
      <c r="D225" t="n">
        <v>40</v>
      </c>
      <c r="E225" t="n">
        <v>0.301</v>
      </c>
      <c r="F225" t="n">
        <v>0.113</v>
      </c>
      <c r="G225" t="n">
        <v>32</v>
      </c>
      <c r="H225" t="n">
        <v>0.26</v>
      </c>
      <c r="I225" t="n">
        <v>0.107</v>
      </c>
      <c r="J225" t="n">
        <v>-6.179</v>
      </c>
      <c r="K225" t="inlineStr">
        <is>
          <t>Bitcoin posts surprise rally as currency nears $70,000 for the first time since June - fortune.com</t>
        </is>
      </c>
      <c r="L22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5" t="inlineStr">
        <is>
          <t>UAE injects $8bn into banking system as liquidity falls - thebanker.com</t>
        </is>
      </c>
      <c r="N22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5" t="inlineStr">
        <is>
          <t>Appetite for US Bonds as Safe Haven Rebounds After Global Yields Spike - The Daily Upside</t>
        </is>
      </c>
      <c r="P22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5" t="inlineStr">
        <is>
          <t>finbert</t>
        </is>
      </c>
      <c r="R225" t="inlineStr">
        <is>
          <t>Shelved mega deals may help 'stabilize' the market - Bond Buyer</t>
        </is>
      </c>
      <c r="S22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5" t="inlineStr">
        <is>
          <t>Global Markets Stabilize as Bond Sell-off Eases Amid Inflation C - GuruFocus</t>
        </is>
      </c>
      <c r="U225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5" t="inlineStr">
        <is>
          <t>Bessent calls Treasury bond buyback successful, reiterates he has tools to stabilize bond market - Yahoo Finance</t>
        </is>
      </c>
      <c r="W22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6">
      <c r="A226" t="inlineStr">
        <is>
          <t>2026-10-03T05:08:34+00:00</t>
        </is>
      </c>
      <c r="B226" t="inlineStr">
        <is>
          <t>2026-10-03</t>
        </is>
      </c>
      <c r="C226" t="inlineStr">
        <is>
          <t>Trade Wars &amp; Escalations</t>
        </is>
      </c>
      <c r="D226" t="n">
        <v>40</v>
      </c>
      <c r="E226" t="n">
        <v>0.607</v>
      </c>
      <c r="F226" t="n">
        <v>-0.358</v>
      </c>
      <c r="G226" t="n">
        <v>31</v>
      </c>
      <c r="H226" t="n">
        <v>0.874</v>
      </c>
      <c r="I226" t="n">
        <v>0.116</v>
      </c>
      <c r="J226" t="n">
        <v>9.858000000000001</v>
      </c>
      <c r="K226" t="inlineStr">
        <is>
          <t>'A ban takes demand to zero overnight': How the latest U.S. trade war retaliation hits Canadian businesses - Yahoo! Finance Canada</t>
        </is>
      </c>
      <c r="L22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6" t="inlineStr">
        <is>
          <t>US ban on Canadian alcohol and dairy takes effect as trade war drags on - BBC</t>
        </is>
      </c>
      <c r="N226" t="inlineStr">
        <is>
          <t>https://news.google.com/rss/articles/CBMiW0FVX3lxTE5JMVJIVF9zTWREN1pOVjNTSFFFWHBuai1nbkMtcHNuY3JOTWhUODg5UTBDUWE0VFU3MFFNNjBxb2FNVzh6UElMd001ZEx2Tm05dEdiUHBpS19LMDA?oc=5</t>
        </is>
      </c>
      <c r="O226" t="inlineStr">
        <is>
          <t>Trump uses Depression-era law to ban Canadian alcohol in trade war escalation - WRTV</t>
        </is>
      </c>
      <c r="P22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6" t="inlineStr">
        <is>
          <t>vader</t>
        </is>
      </c>
      <c r="R226" t="inlineStr">
        <is>
          <t>Toys Included in New U.S.-China Tariff Relief Agreement - The Toy Book</t>
        </is>
      </c>
      <c r="S22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6" t="inlineStr">
        <is>
          <t>U.S. and China Strike Agreement for $60 Billion in Tariff Relief - Modaes</t>
        </is>
      </c>
      <c r="U22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6" t="inlineStr">
        <is>
          <t>US and China agree on tariff relief for $30bn of nonsensitive goods each - Nikkei Asia</t>
        </is>
      </c>
      <c r="W22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27">
      <c r="A227" t="inlineStr">
        <is>
          <t>2026-10-03T13:18:31+00:00</t>
        </is>
      </c>
      <c r="B227" t="inlineStr">
        <is>
          <t>2026-10-03</t>
        </is>
      </c>
      <c r="C227" t="inlineStr">
        <is>
          <t>Middle East Oil Risk</t>
        </is>
      </c>
      <c r="D227" t="n">
        <v>48</v>
      </c>
      <c r="E227" t="n">
        <v>0.55</v>
      </c>
      <c r="F227" t="n">
        <v>-0.376</v>
      </c>
      <c r="G227" t="n">
        <v>31</v>
      </c>
      <c r="H227" t="n">
        <v>0.79</v>
      </c>
      <c r="I227" t="n">
        <v>0.006</v>
      </c>
      <c r="J227" t="n">
        <v>17.425</v>
      </c>
      <c r="K227" t="inlineStr">
        <is>
          <t>Four crewmembers, two rescuers killed in Red Sea attack; U.S. strikes ship in Gulf of Oman - NBC News</t>
        </is>
      </c>
      <c r="L22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7" t="inlineStr">
        <is>
          <t>Israel-Hezbollah clashes kill 11 as Mideast conflict escalation gathers pace after U.S.-Iran strikes - CNBC</t>
        </is>
      </c>
      <c r="N22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7" t="inlineStr">
        <is>
          <t>Mounting pressure on Iran could lead to attack on Israel despite US peace talks - The Jerusalem Post</t>
        </is>
      </c>
      <c r="P227" t="inlineStr">
        <is>
          <t>https://news.google.com/rss/articles/CBMiakFVX3lxTFBpaHNGNEpLdFFJTXMyQ3NWSXVwTG8zZkVtY1EyanpoREFIRTdhdGRGZ3UyMTBkbTlQd1VWaGctc2lQdVo5SUlzVDdQZHdGQllCdnZWMzQzRExja040YlNsbjZqTmdjV2M1Wnc?oc=5</t>
        </is>
      </c>
      <c r="Q227" t="inlineStr">
        <is>
          <t>vader</t>
        </is>
      </c>
      <c r="R227" t="inlineStr">
        <is>
          <t>Acting Special Coordinator for the Middle East Peace Process's remarks at the Security Council on the Report of the Secretary-General on the Implementation of UNSCR 2334 [as delivered] - DPPA</t>
        </is>
      </c>
      <c r="S22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27" t="inlineStr">
        <is>
          <t>Israeli strikes kill Gaza woman, injure 5 despite ceasefire - Yeni Şafak English</t>
        </is>
      </c>
      <c r="U227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  <c r="V227" t="inlineStr">
        <is>
          <t>Iran Is Pressed to Make Nuclear Concessions to Revive Peace Talks With U.S. - wsj.com</t>
        </is>
      </c>
      <c r="W22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228">
      <c r="A228" t="inlineStr">
        <is>
          <t>2026-10-03T13:18:31+00:00</t>
        </is>
      </c>
      <c r="B228" t="inlineStr">
        <is>
          <t>2026-10-03</t>
        </is>
      </c>
      <c r="C228" t="inlineStr">
        <is>
          <t>Macroeconomic Interventions</t>
        </is>
      </c>
      <c r="D228" t="n">
        <v>40</v>
      </c>
      <c r="E228" t="n">
        <v>0.325</v>
      </c>
      <c r="F228" t="n">
        <v>0.076</v>
      </c>
      <c r="G228" t="n">
        <v>32</v>
      </c>
      <c r="H228" t="n">
        <v>0.211</v>
      </c>
      <c r="I228" t="n">
        <v>0.117</v>
      </c>
      <c r="J228" t="n">
        <v>-5.884</v>
      </c>
      <c r="K228" t="inlineStr">
        <is>
          <t>Bitcoin posts surprise rally as currency nears $70,000 for the first time since June - Fortune</t>
        </is>
      </c>
      <c r="L22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8" t="inlineStr">
        <is>
          <t>UAE injects $8bn into banking system as liquidity falls - thebanker.com</t>
        </is>
      </c>
      <c r="N22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8" t="inlineStr">
        <is>
          <t>Appetite for US Bonds as Safe Haven Rebounds After Global Yields Spike - The Daily Upside</t>
        </is>
      </c>
      <c r="P22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8" t="inlineStr">
        <is>
          <t>finbert</t>
        </is>
      </c>
      <c r="R228" t="inlineStr">
        <is>
          <t>Shelved mega deals may help 'stabilize' the market - Bond Buyer</t>
        </is>
      </c>
      <c r="S22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8" t="inlineStr">
        <is>
          <t>Global Markets Stabilize as Bond Sell-off Eases Amid Inflation C - GuruFocus</t>
        </is>
      </c>
      <c r="U228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8" t="inlineStr">
        <is>
          <t>Bessent calls Treasury bond buyback successful, reiterates he has tools to stabilize bond market - Yahoo Finance</t>
        </is>
      </c>
      <c r="W22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9">
      <c r="A229" t="inlineStr">
        <is>
          <t>2026-10-03T13:18:31+00:00</t>
        </is>
      </c>
      <c r="B229" t="inlineStr">
        <is>
          <t>2026-10-03</t>
        </is>
      </c>
      <c r="C229" t="inlineStr">
        <is>
          <t>Trade Wars &amp; Escalations</t>
        </is>
      </c>
      <c r="D229" t="n">
        <v>40</v>
      </c>
      <c r="E229" t="n">
        <v>0.662</v>
      </c>
      <c r="F229" t="n">
        <v>-0.303</v>
      </c>
      <c r="G229" t="n">
        <v>29</v>
      </c>
      <c r="H229" t="n">
        <v>0.843</v>
      </c>
      <c r="I229" t="n">
        <v>0.158</v>
      </c>
      <c r="J229" t="n">
        <v>9.266999999999999</v>
      </c>
      <c r="K229" t="inlineStr">
        <is>
          <t>US ban on Canadian alcohol and dairy takes effect as trade war drags on - BBC</t>
        </is>
      </c>
      <c r="L229" t="inlineStr">
        <is>
          <t>https://news.google.com/rss/articles/CBMiW0FVX3lxTE5JMVJIVF9zTWREN1pOVjNTSFFFWHBuai1nbkMtcHNuY3JOTWhUODg5UTBDUWE0VFU3MFFNNjBxb2FNVzh6UElMd001ZEx2Tm05dEdiUHBpS19LMDA?oc=5</t>
        </is>
      </c>
      <c r="M229" t="inlineStr">
        <is>
          <t>'A ban takes demand to zero overnight': How the latest U.S. trade war retaliation hits Canadian businesses - ca.finance.yahoo.com</t>
        </is>
      </c>
      <c r="N22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29" t="inlineStr">
        <is>
          <t>Trump uses Depression-era law to ban Canadian alcohol in trade war escalation - WRTV</t>
        </is>
      </c>
      <c r="P22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9" t="inlineStr">
        <is>
          <t>vader</t>
        </is>
      </c>
      <c r="R229" t="inlineStr">
        <is>
          <t>Toys Included in New U.S.-China Tariff Relief Agreement - The Toy Book</t>
        </is>
      </c>
      <c r="S22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9" t="inlineStr">
        <is>
          <t>U.S. and China Strike Agreement for $60 Billion in Tariff Relief - Modaes</t>
        </is>
      </c>
      <c r="U22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9" t="inlineStr">
        <is>
          <t>US and China agree on tariff relief for $30bn of nonsensitive goods each - Nikkei Asia</t>
        </is>
      </c>
      <c r="W22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0">
      <c r="A230" t="inlineStr">
        <is>
          <t>2026-10-03T19:11:29+00:00</t>
        </is>
      </c>
      <c r="B230" t="inlineStr">
        <is>
          <t>2026-10-03</t>
        </is>
      </c>
      <c r="C230" t="inlineStr">
        <is>
          <t>Middle East Oil Risk</t>
        </is>
      </c>
      <c r="D230" t="n">
        <v>48</v>
      </c>
      <c r="E230" t="n">
        <v>0.482</v>
      </c>
      <c r="F230" t="n">
        <v>-0.413</v>
      </c>
      <c r="G230" t="n">
        <v>31</v>
      </c>
      <c r="H230" t="n">
        <v>0.716</v>
      </c>
      <c r="I230" t="n">
        <v>-0.095</v>
      </c>
      <c r="J230" t="n">
        <v>19.886</v>
      </c>
      <c r="K230" t="inlineStr">
        <is>
          <t>Four crewmembers, two rescuers killed in Red Sea attack; U.S. strikes ship in Gulf of Oman - NBC News</t>
        </is>
      </c>
      <c r="L23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0" t="inlineStr">
        <is>
          <t>Israel-Hezbollah clashes kill 11 as Mideast conflict escalation gathers pace after U.S.-Iran strikes - CNBC</t>
        </is>
      </c>
      <c r="N23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0" t="inlineStr">
        <is>
          <t>How Trump’s strikes against Houthis foreshadowed struggles in Iran war - NBC News</t>
        </is>
      </c>
      <c r="P230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0" t="inlineStr">
        <is>
          <t>vader</t>
        </is>
      </c>
      <c r="R230" t="inlineStr">
        <is>
          <t>Acting Special Coordinator for the Middle East Peace Process's remarks at the Security Council on the Report of the Secretary-General on the Implementation of UNSCR 2334 [as delivered] - DPPA</t>
        </is>
      </c>
      <c r="S23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30" t="inlineStr">
        <is>
          <t>US and Iran exchange intensifying fire across Mideast, threatening ceasefire deal - AP News</t>
        </is>
      </c>
      <c r="U230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230" t="inlineStr">
        <is>
          <t>Araghchi said Iran would allow access to nuclear inspectors for sanctions relief - The Jerusalem Post</t>
        </is>
      </c>
      <c r="W230" t="inlineStr">
        <is>
          <t>https://news.google.com/rss/articles/CBMiakFVX3lxTE1WNkRGcmpNUkJkQ29lLWRfQ2lPbkEtYkNHbDV2VW9DT1loZ0JTaTJjMVRDcDY5V0lDMlBER1BPNEVTY0FvSXNjWUxoSlp6V3JMXzJEZDFDVEkzSjNwSy1keXIzZWNOZ0IzY3c?oc=5</t>
        </is>
      </c>
    </row>
    <row r="231">
      <c r="A231" t="inlineStr">
        <is>
          <t>2026-10-03T19:11:29+00:00</t>
        </is>
      </c>
      <c r="B231" t="inlineStr">
        <is>
          <t>2026-10-03</t>
        </is>
      </c>
      <c r="C231" t="inlineStr">
        <is>
          <t>Macroeconomic Interventions</t>
        </is>
      </c>
      <c r="D231" t="n">
        <v>40</v>
      </c>
      <c r="E231" t="n">
        <v>0.32</v>
      </c>
      <c r="F231" t="n">
        <v>0.076</v>
      </c>
      <c r="G231" t="n">
        <v>32</v>
      </c>
      <c r="H231" t="n">
        <v>0.312</v>
      </c>
      <c r="I231" t="n">
        <v>0.107</v>
      </c>
      <c r="J231" t="n">
        <v>-7.399</v>
      </c>
      <c r="K231" t="inlineStr">
        <is>
          <t>Bitcoin posts surprise rally as currency nears $70,000 for the first time since June - Fortune</t>
        </is>
      </c>
      <c r="L23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1" t="inlineStr">
        <is>
          <t>UAE injects $8bn into banking system as liquidity falls - thebanker.com</t>
        </is>
      </c>
      <c r="N23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1" t="inlineStr">
        <is>
          <t>Appetite for US Bonds as Safe Haven Rebounds After Global Yields Spike - The Daily Upside</t>
        </is>
      </c>
      <c r="P23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1" t="inlineStr">
        <is>
          <t>finbert</t>
        </is>
      </c>
      <c r="R231" t="inlineStr">
        <is>
          <t>Shelved mega deals may help 'stabilize' the market - Bond Buyer</t>
        </is>
      </c>
      <c r="S23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1" t="inlineStr">
        <is>
          <t>10-year Treasury yield hits 24-year high as US economy grows faster than expected - financialexpress.com</t>
        </is>
      </c>
      <c r="U231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  <c r="V231" t="inlineStr">
        <is>
          <t>Rate Hike Coming in September? Prediction Markets for Next Fed Decision - Federal News Network</t>
        </is>
      </c>
      <c r="W23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32">
      <c r="A232" t="inlineStr">
        <is>
          <t>2026-10-03T19:11:29+00:00</t>
        </is>
      </c>
      <c r="B232" t="inlineStr">
        <is>
          <t>2026-10-03</t>
        </is>
      </c>
      <c r="C232" t="inlineStr">
        <is>
          <t>Trade Wars &amp; Escalations</t>
        </is>
      </c>
      <c r="D232" t="n">
        <v>40</v>
      </c>
      <c r="E232" t="n">
        <v>0.675</v>
      </c>
      <c r="F232" t="n">
        <v>-0.292</v>
      </c>
      <c r="G232" t="n">
        <v>30</v>
      </c>
      <c r="H232" t="n">
        <v>0.849</v>
      </c>
      <c r="I232" t="n">
        <v>0.169</v>
      </c>
      <c r="J232" t="n">
        <v>8.307</v>
      </c>
      <c r="K232" t="inlineStr">
        <is>
          <t>'A ban takes demand to zero overnight': How the latest U.S. trade war retaliation hits Canadian businesses - Yahoo! Finance Canada</t>
        </is>
      </c>
      <c r="L23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2" t="inlineStr">
        <is>
          <t>US ban on Canadian alcohol and dairy takes effect as trade war drags on - BBC</t>
        </is>
      </c>
      <c r="N232" t="inlineStr">
        <is>
          <t>https://news.google.com/rss/articles/CBMiW0FVX3lxTE5JMVJIVF9zTWREN1pOVjNTSFFFWHBuai1nbkMtcHNuY3JOTWhUODg5UTBDUWE0VFU3MFFNNjBxb2FNVzh6UElMd001ZEx2Tm05dEdiUHBpS19LMDA?oc=5</t>
        </is>
      </c>
      <c r="O232" t="inlineStr">
        <is>
          <t>Trump uses Depression-era law to ban Canadian alcohol in trade war escalation - WRTV</t>
        </is>
      </c>
      <c r="P23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2" t="inlineStr">
        <is>
          <t>vader</t>
        </is>
      </c>
      <c r="R232" t="inlineStr">
        <is>
          <t>Toys Included in New U.S.-China Tariff Relief Agreement - The Toy Book</t>
        </is>
      </c>
      <c r="S23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2" t="inlineStr">
        <is>
          <t>U.S. and China Strike Agreement for $60 Billion in Tariff Relief - Modaes</t>
        </is>
      </c>
      <c r="U23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2" t="inlineStr">
        <is>
          <t>US and China agree on tariff relief for $30bn of nonsensitive goods each - Nikkei Asia</t>
        </is>
      </c>
      <c r="W23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3">
      <c r="A233" t="inlineStr">
        <is>
          <t>2026-10-03T22:50:40+00:00</t>
        </is>
      </c>
      <c r="B233" t="inlineStr">
        <is>
          <t>2026-10-03</t>
        </is>
      </c>
      <c r="C233" t="inlineStr">
        <is>
          <t>Middle East Oil Risk</t>
        </is>
      </c>
      <c r="D233" t="n">
        <v>48</v>
      </c>
      <c r="E233" t="n">
        <v>0.509</v>
      </c>
      <c r="F233" t="n">
        <v>-0.397</v>
      </c>
      <c r="G233" t="n">
        <v>32</v>
      </c>
      <c r="H233" t="n">
        <v>0.696</v>
      </c>
      <c r="I233" t="n">
        <v>-0.118</v>
      </c>
      <c r="J233" t="n">
        <v>19.413</v>
      </c>
      <c r="K233" t="inlineStr">
        <is>
          <t>Four crewmembers, two rescuers killed in Red Sea attack; U.S. strikes ship in Gulf of Oman - NBC News</t>
        </is>
      </c>
      <c r="L23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3" t="inlineStr">
        <is>
          <t>Israel-Hezbollah clashes kill 11 as Mideast conflict escalation gathers pace after U.S.-Iran strikes - CNBC</t>
        </is>
      </c>
      <c r="N23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3" t="inlineStr">
        <is>
          <t>How Trump’s strikes against Houthis foreshadowed struggles in Iran war - NBC News</t>
        </is>
      </c>
      <c r="P233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3" t="inlineStr">
        <is>
          <t>vader</t>
        </is>
      </c>
      <c r="R233" t="inlineStr">
        <is>
          <t>Iran and US trade blame for attacks, threatening fragile ceasefire - Al Jazeera</t>
        </is>
      </c>
      <c r="S23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3" t="inlineStr">
        <is>
          <t>Acting Special Coordinator for the Middle East Peace Process's remarks at the Security Council on the Report of the Secretary-General on the Implementation of UNSCR 2334 [as delivered] - DPPA</t>
        </is>
      </c>
      <c r="U23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3" t="inlineStr">
        <is>
          <t>US and Iran exchange intensifying fire across Mideast, threatening ceasefire deal - AP News</t>
        </is>
      </c>
      <c r="W233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4">
      <c r="A234" t="inlineStr">
        <is>
          <t>2026-10-03T22:50:40+00:00</t>
        </is>
      </c>
      <c r="B234" t="inlineStr">
        <is>
          <t>2026-10-03</t>
        </is>
      </c>
      <c r="C234" t="inlineStr">
        <is>
          <t>Macroeconomic Interventions</t>
        </is>
      </c>
      <c r="D234" t="n">
        <v>40</v>
      </c>
      <c r="E234" t="n">
        <v>0.378</v>
      </c>
      <c r="F234" t="n">
        <v>0.076</v>
      </c>
      <c r="G234" t="n">
        <v>32</v>
      </c>
      <c r="H234" t="n">
        <v>0.272</v>
      </c>
      <c r="I234" t="n">
        <v>0.1</v>
      </c>
      <c r="J234" t="n">
        <v>-7.918</v>
      </c>
      <c r="K234" t="inlineStr">
        <is>
          <t>Bitcoin posts surprise rally as currency nears $70,000 for the first time since June - Fortune</t>
        </is>
      </c>
      <c r="L23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4" t="inlineStr">
        <is>
          <t>UAE injects $8bn into banking system as liquidity falls - thebanker.com</t>
        </is>
      </c>
      <c r="N23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4" t="inlineStr">
        <is>
          <t>Appetite for US Bonds as Safe Haven Rebounds After Global Yields Spike - The Daily Upside</t>
        </is>
      </c>
      <c r="P23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4" t="inlineStr">
        <is>
          <t>finbert</t>
        </is>
      </c>
      <c r="R234" t="inlineStr">
        <is>
          <t>Shelved mega deals may help 'stabilize' the market - bondbuyer.com</t>
        </is>
      </c>
      <c r="S23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4" t="inlineStr">
        <is>
          <t>Global Markets Stabilize as Bond Sell-off Eases Amid Inflation C - GuruFocus</t>
        </is>
      </c>
      <c r="U23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34" t="inlineStr">
        <is>
          <t>Bessent calls Treasury bond buyback successful, reiterates he has tools to stabilize bond market - Yahoo Finance</t>
        </is>
      </c>
      <c r="W23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35">
      <c r="A235" t="inlineStr">
        <is>
          <t>2026-10-03T22:50:40+00:00</t>
        </is>
      </c>
      <c r="B235" t="inlineStr">
        <is>
          <t>2026-10-03</t>
        </is>
      </c>
      <c r="C235" t="inlineStr">
        <is>
          <t>Trade Wars &amp; Escalations</t>
        </is>
      </c>
      <c r="D235" t="n">
        <v>40</v>
      </c>
      <c r="E235" t="n">
        <v>0.615</v>
      </c>
      <c r="F235" t="n">
        <v>-0.299</v>
      </c>
      <c r="G235" t="n">
        <v>30</v>
      </c>
      <c r="H235" t="n">
        <v>0.848</v>
      </c>
      <c r="I235" t="n">
        <v>0.19</v>
      </c>
      <c r="J235" t="n">
        <v>8.128</v>
      </c>
      <c r="K235" t="inlineStr">
        <is>
          <t>'A ban takes demand to zero overnight': How the latest U.S. trade war retaliation hits Canadian businesses - Yahoo! Finance Canada</t>
        </is>
      </c>
      <c r="L23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5" t="inlineStr">
        <is>
          <t>US ban on Canadian alcohol and dairy takes effect as trade war drags on - BBC</t>
        </is>
      </c>
      <c r="N235" t="inlineStr">
        <is>
          <t>https://news.google.com/rss/articles/CBMiW0FVX3lxTE5JMVJIVF9zTWREN1pOVjNTSFFFWHBuai1nbkMtcHNuY3JOTWhUODg5UTBDUWE0VFU3MFFNNjBxb2FNVzh6UElMd001ZEx2Tm05dEdiUHBpS19LMDA?oc=5</t>
        </is>
      </c>
      <c r="O235" t="inlineStr">
        <is>
          <t>Trump uses Depression-era law to ban Canadian alcohol in trade war escalation - WRTV</t>
        </is>
      </c>
      <c r="P23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5" t="inlineStr">
        <is>
          <t>vader</t>
        </is>
      </c>
      <c r="R235" t="inlineStr">
        <is>
          <t>Toys Included in New U.S.-China Tariff Relief Agreement - The Toy Book</t>
        </is>
      </c>
      <c r="S23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5" t="inlineStr">
        <is>
          <t>U.S. and China Strike Agreement for $60 Billion in Tariff Relief - Modaes</t>
        </is>
      </c>
      <c r="U23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5" t="inlineStr">
        <is>
          <t>US and China agree on tariff relief for $30bn of nonsensitive goods each - Nikkei Asia</t>
        </is>
      </c>
      <c r="W23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6">
      <c r="A236" t="inlineStr">
        <is>
          <t>2026-10-04T05:42:24+00:00</t>
        </is>
      </c>
      <c r="B236" t="inlineStr">
        <is>
          <t>2026-10-04</t>
        </is>
      </c>
      <c r="C236" t="inlineStr">
        <is>
          <t>Middle East Oil Risk</t>
        </is>
      </c>
      <c r="D236" t="n">
        <v>48</v>
      </c>
      <c r="E236" t="n">
        <v>0.503</v>
      </c>
      <c r="F236" t="n">
        <v>-0.379</v>
      </c>
      <c r="G236" t="n">
        <v>32</v>
      </c>
      <c r="H236" t="n">
        <v>0.659</v>
      </c>
      <c r="I236" t="n">
        <v>-0.095</v>
      </c>
      <c r="J236" t="n">
        <v>18.598</v>
      </c>
      <c r="K236" t="inlineStr">
        <is>
          <t>Four crewmembers, two rescuers killed in Red Sea attack; U.S. strikes ship in Gulf of Oman - NBC News</t>
        </is>
      </c>
      <c r="L23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6" t="inlineStr">
        <is>
          <t>Israel-Hezbollah clashes kill 11 as Mideast conflict escalation gathers pace after U.S.-Iran strikes - CNBC</t>
        </is>
      </c>
      <c r="N23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6" t="inlineStr">
        <is>
          <t>How Trump’s strikes against Houthis foreshadowed struggles in Iran war - NBC News</t>
        </is>
      </c>
      <c r="P236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6" t="inlineStr">
        <is>
          <t>vader</t>
        </is>
      </c>
      <c r="R236" t="inlineStr">
        <is>
          <t>Iran and US trade blame for attacks, threatening fragile ceasefire - Al Jazeera</t>
        </is>
      </c>
      <c r="S23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6" t="inlineStr">
        <is>
          <t>Acting Special Coordinator for the Middle East Peace Process's remarks at the Security Council on the Report of the Secretary-General on the Implementation of UNSCR 2334 [as delivered] - DPPA</t>
        </is>
      </c>
      <c r="U23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6" t="inlineStr">
        <is>
          <t>US and Iran exchange intensifying fire across Mideast, threatening ceasefire deal - AP News</t>
        </is>
      </c>
      <c r="W236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7">
      <c r="A237" t="inlineStr">
        <is>
          <t>2026-10-04T05:42:24+00:00</t>
        </is>
      </c>
      <c r="B237" t="inlineStr">
        <is>
          <t>2026-10-04</t>
        </is>
      </c>
      <c r="C237" t="inlineStr">
        <is>
          <t>Macroeconomic Interventions</t>
        </is>
      </c>
      <c r="D237" t="n">
        <v>40</v>
      </c>
      <c r="E237" t="n">
        <v>0.415</v>
      </c>
      <c r="F237" t="n">
        <v>0.08</v>
      </c>
      <c r="G237" t="n">
        <v>32</v>
      </c>
      <c r="H237" t="n">
        <v>0.321</v>
      </c>
      <c r="I237" t="n">
        <v>0.099</v>
      </c>
      <c r="J237" t="n">
        <v>-9.433</v>
      </c>
      <c r="K237" t="inlineStr">
        <is>
          <t>Bitcoin posts surprise rally as currency nears $70,000 for the first time since June - Fortune</t>
        </is>
      </c>
      <c r="L23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7" t="inlineStr">
        <is>
          <t>UAE injects $8bn into banking system as liquidity falls - thebanker.com</t>
        </is>
      </c>
      <c r="N23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7" t="inlineStr">
        <is>
          <t>Appetite for US Bonds as Safe Haven Rebounds After Global Yields Spike - The Daily Upside</t>
        </is>
      </c>
      <c r="P23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7" t="inlineStr">
        <is>
          <t>finbert</t>
        </is>
      </c>
      <c r="R237" t="inlineStr">
        <is>
          <t>Shelved mega deals may help 'stabilize' the market - Bond Buyer</t>
        </is>
      </c>
      <c r="S23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7" t="inlineStr">
        <is>
          <t>Bessent calls Treasury bond buyback successful, reiterates he has tools to stabilize bond market - Yahoo Finance</t>
        </is>
      </c>
      <c r="U23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37" t="inlineStr">
        <is>
          <t>10-year Treasury yield hits 24-year high as US economy grows faster than expected - financialexpress.com</t>
        </is>
      </c>
      <c r="W237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</row>
    <row r="238">
      <c r="A238" t="inlineStr">
        <is>
          <t>2026-10-04T05:42:24+00:00</t>
        </is>
      </c>
      <c r="B238" t="inlineStr">
        <is>
          <t>2026-10-04</t>
        </is>
      </c>
      <c r="C238" t="inlineStr">
        <is>
          <t>Trade Wars &amp; Escalations</t>
        </is>
      </c>
      <c r="D238" t="n">
        <v>40</v>
      </c>
      <c r="E238" t="n">
        <v>0.594</v>
      </c>
      <c r="F238" t="n">
        <v>-0.328</v>
      </c>
      <c r="G238" t="n">
        <v>30</v>
      </c>
      <c r="H238" t="n">
        <v>0.972</v>
      </c>
      <c r="I238" t="n">
        <v>0.188</v>
      </c>
      <c r="J238" t="n">
        <v>8.734999999999999</v>
      </c>
      <c r="K238" t="inlineStr">
        <is>
          <t>'A ban takes demand to zero overnight': How the latest U.S. trade war retaliation hits Canadian businesses - Yahoo! Finance Canada</t>
        </is>
      </c>
      <c r="L23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8" t="inlineStr">
        <is>
          <t>US ban on Canadian alcohol and dairy takes effect as trade war drags on - BBC</t>
        </is>
      </c>
      <c r="N238" t="inlineStr">
        <is>
          <t>https://news.google.com/rss/articles/CBMiW0FVX3lxTE5JMVJIVF9zTWREN1pOVjNTSFFFWHBuai1nbkMtcHNuY3JOTWhUODg5UTBDUWE0VFU3MFFNNjBxb2FNVzh6UElMd001ZEx2Tm05dEdiUHBpS19LMDA?oc=5</t>
        </is>
      </c>
      <c r="O238" t="inlineStr">
        <is>
          <t>Trump uses Depression-era law to ban Canadian alcohol in trade war escalation - WRTV</t>
        </is>
      </c>
      <c r="P23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8" t="inlineStr">
        <is>
          <t>vader</t>
        </is>
      </c>
      <c r="R238" t="inlineStr">
        <is>
          <t>Toys Included in New U.S.-China Tariff Relief Agreement - The Toy Book</t>
        </is>
      </c>
      <c r="S23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8" t="inlineStr">
        <is>
          <t>U.S. and China Strike Agreement for $60 Billion in Tariff Relief - Modaes</t>
        </is>
      </c>
      <c r="U23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8" t="inlineStr">
        <is>
          <t>US and China agree on tariff relief for $30bn of nonsensitive goods each - Nikkei Asia</t>
        </is>
      </c>
      <c r="W23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9">
      <c r="A239" t="inlineStr">
        <is>
          <t>2026-10-04T13:55:09+00:00</t>
        </is>
      </c>
      <c r="B239" t="inlineStr">
        <is>
          <t>2026-10-04</t>
        </is>
      </c>
      <c r="C239" t="inlineStr">
        <is>
          <t>Middle East Oil Risk</t>
        </is>
      </c>
      <c r="D239" t="n">
        <v>47</v>
      </c>
      <c r="E239" t="n">
        <v>0.513</v>
      </c>
      <c r="F239" t="n">
        <v>-0.387</v>
      </c>
      <c r="G239" t="n">
        <v>32</v>
      </c>
      <c r="H239" t="n">
        <v>0.706</v>
      </c>
      <c r="I239" t="n">
        <v>-0.111</v>
      </c>
      <c r="J239" t="n">
        <v>18.369</v>
      </c>
      <c r="K239" t="inlineStr">
        <is>
          <t>USA/Israel/Iran: Investigation into US-Israeli strikes on Tehran neighbourhoods reveals devastating civilian harm - Amnesty International</t>
        </is>
      </c>
      <c r="L23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9" t="inlineStr">
        <is>
          <t>Four crewmembers, two rescuers killed in Red Sea attack; U.S. strikes ship in Gulf of Oman - NBC News</t>
        </is>
      </c>
      <c r="N23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39" t="inlineStr">
        <is>
          <t>Israel-Hezbollah clashes kill 11 as Mideast conflict escalation gathers pace after U.S.-Iran strikes - CNBC</t>
        </is>
      </c>
      <c r="P23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39" t="inlineStr">
        <is>
          <t>vader</t>
        </is>
      </c>
      <c r="R239" t="inlineStr">
        <is>
          <t>One Palestinian killed, 15 others wounded in Israel's Gaza truce violations - aa.com.tr</t>
        </is>
      </c>
      <c r="S239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39" t="inlineStr">
        <is>
          <t>Iran and US trade blame for attacks, threatening fragile ceasefire - Al Jazeera</t>
        </is>
      </c>
      <c r="U23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39" t="inlineStr">
        <is>
          <t>Acting Special Coordinator for the Middle East Peace Process's remarks at the Security Council on the Report of the Secretary-General on the Implementation of UNSCR 2334 [as delivered] - DPPA</t>
        </is>
      </c>
      <c r="W23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0">
      <c r="A240" t="inlineStr">
        <is>
          <t>2026-10-04T13:55:09+00:00</t>
        </is>
      </c>
      <c r="B240" t="inlineStr">
        <is>
          <t>2026-10-04</t>
        </is>
      </c>
      <c r="C240" t="inlineStr">
        <is>
          <t>Macroeconomic Interventions</t>
        </is>
      </c>
      <c r="D240" t="n">
        <v>40</v>
      </c>
      <c r="E240" t="n">
        <v>0.443</v>
      </c>
      <c r="F240" t="n">
        <v>0.095</v>
      </c>
      <c r="G240" t="n">
        <v>32</v>
      </c>
      <c r="H240" t="n">
        <v>0.386</v>
      </c>
      <c r="I240" t="n">
        <v>0.154</v>
      </c>
      <c r="J240" t="n">
        <v>-11.041</v>
      </c>
      <c r="K240" t="inlineStr">
        <is>
          <t>Bitcoin posts surprise rally as currency nears $70,000 for the first time since June - Fortune</t>
        </is>
      </c>
      <c r="L24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0" t="inlineStr">
        <is>
          <t>Appetite for US Bonds as Safe Haven Rebounds After Global Yields Spike - The Daily Upside</t>
        </is>
      </c>
      <c r="N24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40" t="inlineStr">
        <is>
          <t>China Injected $52 Billion and Bitcoin Fell, Three More Days Are Scheduled - Yahoo Finance</t>
        </is>
      </c>
      <c r="P24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40" t="inlineStr">
        <is>
          <t>finbert</t>
        </is>
      </c>
      <c r="R240" t="inlineStr">
        <is>
          <t>Shelved mega deals may help 'stabilize' the market - Bond Buyer</t>
        </is>
      </c>
      <c r="S24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0" t="inlineStr">
        <is>
          <t>USD/JPY outlook: BOJ holds steady as intervention risk builds - FOREX.com</t>
        </is>
      </c>
      <c r="U24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0" t="inlineStr">
        <is>
          <t>Ueda Speech: BoJ Governor discusses policy outlook after the expected interest rate hold - FXStreet</t>
        </is>
      </c>
      <c r="W240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1">
      <c r="A241" t="inlineStr">
        <is>
          <t>2026-10-04T13:55:09+00:00</t>
        </is>
      </c>
      <c r="B241" t="inlineStr">
        <is>
          <t>2026-10-04</t>
        </is>
      </c>
      <c r="C241" t="inlineStr">
        <is>
          <t>Trade Wars &amp; Escalations</t>
        </is>
      </c>
      <c r="D241" t="n">
        <v>40</v>
      </c>
      <c r="E241" t="n">
        <v>0.5639999999999999</v>
      </c>
      <c r="F241" t="n">
        <v>-0.324</v>
      </c>
      <c r="G241" t="n">
        <v>31</v>
      </c>
      <c r="H241" t="n">
        <v>0.97</v>
      </c>
      <c r="I241" t="n">
        <v>0.173</v>
      </c>
      <c r="J241" t="n">
        <v>8.308</v>
      </c>
      <c r="K241" t="inlineStr">
        <is>
          <t>'A ban takes demand to zero overnight': How the latest U.S. trade war retaliation hits Canadian businesses - Yahoo! Finance Canada</t>
        </is>
      </c>
      <c r="L241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41" t="inlineStr">
        <is>
          <t>US ban on Canadian alcohol and dairy takes effect as trade war drags on - BBC</t>
        </is>
      </c>
      <c r="N241" t="inlineStr">
        <is>
          <t>https://news.google.com/rss/articles/CBMiW0FVX3lxTE5JMVJIVF9zTWREN1pOVjNTSFFFWHBuai1nbkMtcHNuY3JOTWhUODg5UTBDUWE0VFU3MFFNNjBxb2FNVzh6UElMd001ZEx2Tm05dEdiUHBpS19LMDA?oc=5</t>
        </is>
      </c>
      <c r="O241" t="inlineStr">
        <is>
          <t>Trump uses Depression-era law to ban Canadian alcohol in trade war escalation - WRTV</t>
        </is>
      </c>
      <c r="P24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1" t="inlineStr">
        <is>
          <t>vader</t>
        </is>
      </c>
      <c r="R241" t="inlineStr">
        <is>
          <t>Toys Included in New U.S.-China Tariff Relief Agreement - The Toy Book</t>
        </is>
      </c>
      <c r="S24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1" t="inlineStr">
        <is>
          <t>U.S. and China Strike Agreement for $60 Billion in Tariff Relief - Modaes</t>
        </is>
      </c>
      <c r="U24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1" t="inlineStr">
        <is>
          <t>US and China agree on tariff relief for $30bn of nonsensitive goods each - Nikkei Asia</t>
        </is>
      </c>
      <c r="W24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2">
      <c r="A242" t="inlineStr">
        <is>
          <t>2026-10-04T19:32:56+00:00</t>
        </is>
      </c>
      <c r="B242" t="inlineStr">
        <is>
          <t>2026-10-04</t>
        </is>
      </c>
      <c r="C242" t="inlineStr">
        <is>
          <t>Middle East Oil Risk</t>
        </is>
      </c>
      <c r="D242" t="n">
        <v>46</v>
      </c>
      <c r="E242" t="n">
        <v>0.512</v>
      </c>
      <c r="F242" t="n">
        <v>-0.4</v>
      </c>
      <c r="G242" t="n">
        <v>32</v>
      </c>
      <c r="H242" t="n">
        <v>0.725</v>
      </c>
      <c r="I242" t="n">
        <v>-0.103</v>
      </c>
      <c r="J242" t="n">
        <v>17.843</v>
      </c>
      <c r="K242" t="inlineStr">
        <is>
          <t>USA/Israel/Iran: Investigation into US-Israeli strikes on Tehran neighbourhoods reveals devastating civilian harm - amnesty.org</t>
        </is>
      </c>
      <c r="L24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2" t="inlineStr">
        <is>
          <t>Four crewmembers, two rescuers killed in Red Sea attack; U.S. strikes ship in Gulf of Oman - NBC News</t>
        </is>
      </c>
      <c r="N24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2" t="inlineStr">
        <is>
          <t>Israel-Hezbollah clashes kill 11 as Mideast conflict escalation gathers pace after U.S.-Iran strikes - CNBC</t>
        </is>
      </c>
      <c r="P24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2" t="inlineStr">
        <is>
          <t>vader</t>
        </is>
      </c>
      <c r="R242" t="inlineStr">
        <is>
          <t>One Palestinian killed, 15 others wounded in Israel's Gaza truce violations - aa.com.tr</t>
        </is>
      </c>
      <c r="S242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2" t="inlineStr">
        <is>
          <t>Iran and US trade blame for attacks, threatening fragile ceasefire - Al Jazeera</t>
        </is>
      </c>
      <c r="U24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2" t="inlineStr">
        <is>
          <t>Acting Special Coordinator for the Middle East Peace Process's remarks at the Security Council on the Report of the Secretary-General on the Implementation of UNSCR 2334 [as delivered] - DPPA</t>
        </is>
      </c>
      <c r="W24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3">
      <c r="A243" t="inlineStr">
        <is>
          <t>2026-10-04T19:32:56+00:00</t>
        </is>
      </c>
      <c r="B243" t="inlineStr">
        <is>
          <t>2026-10-04</t>
        </is>
      </c>
      <c r="C243" t="inlineStr">
        <is>
          <t>Macroeconomic Interventions</t>
        </is>
      </c>
      <c r="D243" t="n">
        <v>40</v>
      </c>
      <c r="E243" t="n">
        <v>0.473</v>
      </c>
      <c r="F243" t="n">
        <v>0.1</v>
      </c>
      <c r="G243" t="n">
        <v>32</v>
      </c>
      <c r="H243" t="n">
        <v>0.387</v>
      </c>
      <c r="I243" t="n">
        <v>0.177</v>
      </c>
      <c r="J243" t="n">
        <v>-11.658</v>
      </c>
      <c r="K243" t="inlineStr">
        <is>
          <t>Bitcoin posts surprise rally as currency nears $70,000 for the first time since June - Fortune</t>
        </is>
      </c>
      <c r="L24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3" t="inlineStr">
        <is>
          <t>UAE injects $8bn into banking system as liquidity falls - thebanker.com</t>
        </is>
      </c>
      <c r="N24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3" t="inlineStr">
        <is>
          <t>Appetite for US Bonds as Safe Haven Rebounds After Global Yields Spike - The Daily Upside</t>
        </is>
      </c>
      <c r="P243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3" t="inlineStr">
        <is>
          <t>finbert</t>
        </is>
      </c>
      <c r="R243" t="inlineStr">
        <is>
          <t>Shelved mega deals may help 'stabilize' the market - Bond Buyer</t>
        </is>
      </c>
      <c r="S24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3" t="inlineStr">
        <is>
          <t>USD/JPY outlook: BOJ holds steady as intervention risk builds - FOREX.com</t>
        </is>
      </c>
      <c r="U24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3" t="inlineStr">
        <is>
          <t>Ueda Speech: BoJ Governor discusses policy outlook after the expected interest rate hold - FXStreet</t>
        </is>
      </c>
      <c r="W243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4">
      <c r="A244" t="inlineStr">
        <is>
          <t>2026-10-04T19:32:56+00:00</t>
        </is>
      </c>
      <c r="B244" t="inlineStr">
        <is>
          <t>2026-10-04</t>
        </is>
      </c>
      <c r="C244" t="inlineStr">
        <is>
          <t>Trade Wars &amp; Escalations</t>
        </is>
      </c>
      <c r="D244" t="n">
        <v>40</v>
      </c>
      <c r="E244" t="n">
        <v>0.587</v>
      </c>
      <c r="F244" t="n">
        <v>-0.354</v>
      </c>
      <c r="G244" t="n">
        <v>29</v>
      </c>
      <c r="H244" t="n">
        <v>0.902</v>
      </c>
      <c r="I244" t="n">
        <v>0.156</v>
      </c>
      <c r="J244" t="n">
        <v>10.325</v>
      </c>
      <c r="K244" t="inlineStr">
        <is>
          <t>US ban on Canadian alcohol and dairy takes effect as trade war drags on - BBC</t>
        </is>
      </c>
      <c r="L244" t="inlineStr">
        <is>
          <t>https://news.google.com/rss/articles/CBMiW0FVX3lxTE5JMVJIVF9zTWREN1pOVjNTSFFFWHBuai1nbkMtcHNuY3JOTWhUODg5UTBDUWE0VFU3MFFNNjBxb2FNVzh6UElMd001ZEx2Tm05dEdiUHBpS19LMDA?oc=5</t>
        </is>
      </c>
      <c r="M244" t="inlineStr">
        <is>
          <t>Trump uses Depression-era law to ban Canadian alcohol in trade war escalation - WRTV</t>
        </is>
      </c>
      <c r="N24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44" t="inlineStr">
        <is>
          <t>Iran and US trade threats after Houthi attacks escalate regional conflict - Reuters</t>
        </is>
      </c>
      <c r="P24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44" t="inlineStr">
        <is>
          <t>vader</t>
        </is>
      </c>
      <c r="R244" t="inlineStr">
        <is>
          <t>Toys Included in New U.S.-China Tariff Relief Agreement - The Toy Book</t>
        </is>
      </c>
      <c r="S24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4" t="inlineStr">
        <is>
          <t>U.S. and China Strike Agreement for $60 Billion in Tariff Relief - Modaes</t>
        </is>
      </c>
      <c r="U24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4" t="inlineStr">
        <is>
          <t>US and China agree on tariff relief for $30bn of nonsensitive goods each - Nikkei Asia</t>
        </is>
      </c>
      <c r="W24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5">
      <c r="A245" t="inlineStr">
        <is>
          <t>2026-10-04T23:01:50+00:00</t>
        </is>
      </c>
      <c r="B245" t="inlineStr">
        <is>
          <t>2026-10-04</t>
        </is>
      </c>
      <c r="C245" t="inlineStr">
        <is>
          <t>Middle East Oil Risk</t>
        </is>
      </c>
      <c r="D245" t="n">
        <v>47</v>
      </c>
      <c r="E245" t="n">
        <v>0.571</v>
      </c>
      <c r="F245" t="n">
        <v>-0.47</v>
      </c>
      <c r="G245" t="n">
        <v>32</v>
      </c>
      <c r="H245" t="n">
        <v>0.673</v>
      </c>
      <c r="I245" t="n">
        <v>-0.16</v>
      </c>
      <c r="J245" t="n">
        <v>21.102</v>
      </c>
      <c r="K245" t="inlineStr">
        <is>
          <t>Four crewmembers, two rescuers killed in Red Sea attack; U.S. strikes ship in Gulf of Oman - NBC News</t>
        </is>
      </c>
      <c r="L24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45" t="inlineStr">
        <is>
          <t>Israel-Hezbollah clashes kill 11 as Mideast conflict escalation gathers pace after U.S.-Iran strikes - CNBC</t>
        </is>
      </c>
      <c r="N24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45" t="inlineStr">
        <is>
          <t>How Trump’s strikes against Houthis foreshadowed struggles in Iran war - NBC News</t>
        </is>
      </c>
      <c r="P245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45" t="inlineStr">
        <is>
          <t>vader</t>
        </is>
      </c>
      <c r="R245" t="inlineStr">
        <is>
          <t>One Palestinian killed, 15 others wounded in Israel's Gaza truce violations - Anadolu Ajansı</t>
        </is>
      </c>
      <c r="S245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5" t="inlineStr">
        <is>
          <t>Iran and US trade blame for attacks, threatening fragile ceasefire - Al Jazeera</t>
        </is>
      </c>
      <c r="U24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5" t="inlineStr">
        <is>
          <t>Acting Special Coordinator for the Middle East Peace Process's remarks at the Security Council on the Report of the Secretary-General on the Implementation of UNSCR 2334 [as delivered] - DPPA</t>
        </is>
      </c>
      <c r="W24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6">
      <c r="A246" t="inlineStr">
        <is>
          <t>2026-10-04T23:01:50+00:00</t>
        </is>
      </c>
      <c r="B246" t="inlineStr">
        <is>
          <t>2026-10-04</t>
        </is>
      </c>
      <c r="C246" t="inlineStr">
        <is>
          <t>Macroeconomic Interventions</t>
        </is>
      </c>
      <c r="D246" t="n">
        <v>40</v>
      </c>
      <c r="E246" t="n">
        <v>0.347</v>
      </c>
      <c r="F246" t="n">
        <v>0.076</v>
      </c>
      <c r="G246" t="n">
        <v>32</v>
      </c>
      <c r="H246" t="n">
        <v>0.402</v>
      </c>
      <c r="I246" t="n">
        <v>0.177</v>
      </c>
      <c r="J246" t="n">
        <v>-9.369</v>
      </c>
      <c r="K246" t="inlineStr">
        <is>
          <t>Bitcoin posts surprise rally as currency nears $70,000 for the first time since June - Fortune</t>
        </is>
      </c>
      <c r="L24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6" t="inlineStr">
        <is>
          <t>China Injected $52 Billion and Bitcoin Fell, Three More Days Are Scheduled - Yahoo Finance</t>
        </is>
      </c>
      <c r="N246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246" t="inlineStr">
        <is>
          <t>What the US-Japan Currency Intervention Means for the Yen, Rates, and the Dollar - goldmansachs.com</t>
        </is>
      </c>
      <c r="P24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46" t="inlineStr">
        <is>
          <t>finbert</t>
        </is>
      </c>
      <c r="R246" t="inlineStr">
        <is>
          <t>Shelved mega deals may help 'stabilize' the market - Bond Buyer</t>
        </is>
      </c>
      <c r="S24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6" t="inlineStr">
        <is>
          <t>USD/JPY outlook: BOJ holds steady as intervention risk builds - FOREX.com</t>
        </is>
      </c>
      <c r="U24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6" t="inlineStr">
        <is>
          <t>Ueda Speech: BoJ Governor discusses policy outlook after the expected interest rate hold - FXStreet</t>
        </is>
      </c>
      <c r="W246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7">
      <c r="A247" t="inlineStr">
        <is>
          <t>2026-10-04T23:01:50+00:00</t>
        </is>
      </c>
      <c r="B247" t="inlineStr">
        <is>
          <t>2026-10-04</t>
        </is>
      </c>
      <c r="C247" t="inlineStr">
        <is>
          <t>Trade Wars &amp; Escalations</t>
        </is>
      </c>
      <c r="D247" t="n">
        <v>40</v>
      </c>
      <c r="E247" t="n">
        <v>0.599</v>
      </c>
      <c r="F247" t="n">
        <v>-0.36</v>
      </c>
      <c r="G247" t="n">
        <v>30</v>
      </c>
      <c r="H247" t="n">
        <v>0.971</v>
      </c>
      <c r="I247" t="n">
        <v>0.165</v>
      </c>
      <c r="J247" t="n">
        <v>9.733000000000001</v>
      </c>
      <c r="K247" t="inlineStr">
        <is>
          <t>US ban on Canadian alcohol and dairy takes effect as trade war drags on - BBC</t>
        </is>
      </c>
      <c r="L247" t="inlineStr">
        <is>
          <t>https://news.google.com/rss/articles/CBMiW0FVX3lxTE5JMVJIVF9zTWREN1pOVjNTSFFFWHBuai1nbkMtcHNuY3JOTWhUODg5UTBDUWE0VFU3MFFNNjBxb2FNVzh6UElMd001ZEx2Tm05dEdiUHBpS19LMDA?oc=5</t>
        </is>
      </c>
      <c r="M247" t="inlineStr">
        <is>
          <t>'A ban takes demand to zero overnight': How the latest U.S. trade war retaliation hits Canadian businesses - ca.finance.yahoo.com</t>
        </is>
      </c>
      <c r="N24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47" t="inlineStr">
        <is>
          <t>Trump uses Depression-era law to ban Canadian alcohol in trade war escalation - WRTV</t>
        </is>
      </c>
      <c r="P24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7" t="inlineStr">
        <is>
          <t>vader</t>
        </is>
      </c>
      <c r="R247" t="inlineStr">
        <is>
          <t>Toys Included in New U.S.-China Tariff Relief Agreement - toybook.com</t>
        </is>
      </c>
      <c r="S24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7" t="inlineStr">
        <is>
          <t>U.S. and China Strike Agreement for $60 Billion in Tariff Relief - Modaes</t>
        </is>
      </c>
      <c r="U24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7" t="inlineStr">
        <is>
          <t>US and China agree on tariff relief for $30bn of nonsensitive goods each - asia.nikkei.com</t>
        </is>
      </c>
      <c r="W24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8">
      <c r="A248" t="inlineStr">
        <is>
          <t>2026-10-05T05:25:20+00:00</t>
        </is>
      </c>
      <c r="B248" t="inlineStr">
        <is>
          <t>2026-10-05</t>
        </is>
      </c>
      <c r="C248" t="inlineStr">
        <is>
          <t>Middle East Oil Risk</t>
        </is>
      </c>
      <c r="D248" t="n">
        <v>46</v>
      </c>
      <c r="E248" t="n">
        <v>0.582</v>
      </c>
      <c r="F248" t="n">
        <v>-0.484</v>
      </c>
      <c r="G248" t="n">
        <v>32</v>
      </c>
      <c r="H248" t="n">
        <v>0.664</v>
      </c>
      <c r="I248" t="n">
        <v>-0.16</v>
      </c>
      <c r="J248" t="n">
        <v>20.678</v>
      </c>
      <c r="K248" t="inlineStr">
        <is>
          <t>USA/Israel/Iran: Investigation into US-Israeli strikes on Tehran neighbourhoods reveals devastating civilian harm - amnesty.org</t>
        </is>
      </c>
      <c r="L24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8" t="inlineStr">
        <is>
          <t>Four crewmembers, two rescuers killed in Red Sea attack; U.S. strikes ship in Gulf of Oman - nbcnews.com</t>
        </is>
      </c>
      <c r="N24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8" t="inlineStr">
        <is>
          <t>Israel-Hezbollah clashes kill 11 as Mideast conflict escalation gathers pace after U.S.-Iran strikes - CNBC</t>
        </is>
      </c>
      <c r="P24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8" t="inlineStr">
        <is>
          <t>vader</t>
        </is>
      </c>
      <c r="R248" t="inlineStr">
        <is>
          <t>One Palestinian killed, 15 others wounded in Israel's Gaza truce violations - Anadolu Ajansı</t>
        </is>
      </c>
      <c r="S248" t="inlineStr">
        <is>
          <t>https://news.google.com/rss/articles/CBMiugFBVV95cUxNMVhRN1EzVk81bHVoRkpBSE5UTlVmN3pwNExERkFLa1A1M01nNjZ5V3BLRGdkZ3U3MTBCTFNLZTNsdjRwUUFBbExrMkR0VjJfMGVCblA2Wms5anlqbWtLelVUeC1GbHdlTl9ESk5rX0pSWGNVX0MwTUJnZVFzaHhid0FqRkQ3RnFxNUFzMUpTb283Q0o0RXNQZE9pVWh3bDBfUGN2a2h2QjFRSzAzZU1uS0p3VzZSUTlDM3c?oc=5</t>
        </is>
      </c>
      <c r="T248" t="inlineStr">
        <is>
          <t>Iran and US trade blame for attacks, threatening fragile ceasefire - Al Jazeera</t>
        </is>
      </c>
      <c r="U24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8" t="inlineStr">
        <is>
          <t>Acting Special Coordinator for the Middle East Peace Process's remarks at the Security Council on the Report of the Secretary-General on the Implementation of UNSCR 2334 [as delivered] - DPPA</t>
        </is>
      </c>
      <c r="W24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9">
      <c r="A249" t="inlineStr">
        <is>
          <t>2026-10-05T05:25:20+00:00</t>
        </is>
      </c>
      <c r="B249" t="inlineStr">
        <is>
          <t>2026-10-05</t>
        </is>
      </c>
      <c r="C249" t="inlineStr">
        <is>
          <t>Macroeconomic Interventions</t>
        </is>
      </c>
      <c r="D249" t="n">
        <v>40</v>
      </c>
      <c r="E249" t="n">
        <v>0.425</v>
      </c>
      <c r="F249" t="n">
        <v>0.068</v>
      </c>
      <c r="G249" t="n">
        <v>32</v>
      </c>
      <c r="H249" t="n">
        <v>0.335</v>
      </c>
      <c r="I249" t="n">
        <v>0.163</v>
      </c>
      <c r="J249" t="n">
        <v>-9.875999999999999</v>
      </c>
      <c r="K249" t="inlineStr">
        <is>
          <t>Bitcoin posts surprise rally as currency nears $70,000 for the first time since June - Fortune</t>
        </is>
      </c>
      <c r="L24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9" t="inlineStr">
        <is>
          <t>UAE injects $8bn into banking system as liquidity falls - thebanker.com</t>
        </is>
      </c>
      <c r="N24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9" t="inlineStr">
        <is>
          <t>Appetite for US Bonds as Safe Haven Rebounds After Global Yields Spike - The Daily Upside</t>
        </is>
      </c>
      <c r="P249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9" t="inlineStr">
        <is>
          <t>finbert</t>
        </is>
      </c>
      <c r="R249" t="inlineStr">
        <is>
          <t>Shelved mega deals may help 'stabilize' the market - Bond Buyer</t>
        </is>
      </c>
      <c r="S24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9" t="inlineStr">
        <is>
          <t>USD/JPY outlook: BOJ holds steady as intervention risk builds - FOREX.com</t>
        </is>
      </c>
      <c r="U24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9" t="inlineStr">
        <is>
          <t>Bessent calls Treasury bond buyback successful, reiterates he has tools to stabilize bond market - Yahoo Finance</t>
        </is>
      </c>
      <c r="W24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0">
      <c r="A250" t="inlineStr">
        <is>
          <t>2026-10-05T05:25:20+00:00</t>
        </is>
      </c>
      <c r="B250" t="inlineStr">
        <is>
          <t>2026-10-05</t>
        </is>
      </c>
      <c r="C250" t="inlineStr">
        <is>
          <t>Trade Wars &amp; Escalations</t>
        </is>
      </c>
      <c r="D250" t="n">
        <v>40</v>
      </c>
      <c r="E250" t="n">
        <v>0.596</v>
      </c>
      <c r="F250" t="n">
        <v>-0.346</v>
      </c>
      <c r="G250" t="n">
        <v>30</v>
      </c>
      <c r="H250" t="n">
        <v>0.892</v>
      </c>
      <c r="I250" t="n">
        <v>0.171</v>
      </c>
      <c r="J250" t="n">
        <v>9.358000000000001</v>
      </c>
      <c r="K250" t="inlineStr">
        <is>
          <t>'A ban takes demand to zero overnight': How the latest U.S. trade war retaliation hits Canadian businesses - Yahoo! Finance Canada</t>
        </is>
      </c>
      <c r="L25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0" t="inlineStr">
        <is>
          <t>US ban on Canadian alcohol and dairy takes effect as trade war drags on - BBC</t>
        </is>
      </c>
      <c r="N250" t="inlineStr">
        <is>
          <t>https://news.google.com/rss/articles/CBMiW0FVX3lxTE5JMVJIVF9zTWREN1pOVjNTSFFFWHBuai1nbkMtcHNuY3JOTWhUODg5UTBDUWE0VFU3MFFNNjBxb2FNVzh6UElMd001ZEx2Tm05dEdiUHBpS19LMDA?oc=5</t>
        </is>
      </c>
      <c r="O250" t="inlineStr">
        <is>
          <t>Trump uses Depression-era law to ban Canadian alcohol in trade war escalation - WRTV</t>
        </is>
      </c>
      <c r="P25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0" t="inlineStr">
        <is>
          <t>vader</t>
        </is>
      </c>
      <c r="R250" t="inlineStr">
        <is>
          <t>Toys Included in New U.S.-China Tariff Relief Agreement - The Toy Book</t>
        </is>
      </c>
      <c r="S25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0" t="inlineStr">
        <is>
          <t>U.S. and China Strike Agreement for $60 Billion in Tariff Relief - Modaes</t>
        </is>
      </c>
      <c r="U25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0" t="inlineStr">
        <is>
          <t>US and China agree on tariff relief for $30bn of nonsensitive goods each - asia.nikkei.com</t>
        </is>
      </c>
      <c r="W25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1">
      <c r="A251" t="inlineStr">
        <is>
          <t>2026-10-05T17:06:18+00:00</t>
        </is>
      </c>
      <c r="B251" t="inlineStr">
        <is>
          <t>2026-10-05</t>
        </is>
      </c>
      <c r="C251" t="inlineStr">
        <is>
          <t>Middle East Oil Risk</t>
        </is>
      </c>
      <c r="D251" t="n">
        <v>46</v>
      </c>
      <c r="E251" t="n">
        <v>0.581</v>
      </c>
      <c r="F251" t="n">
        <v>-0.491</v>
      </c>
      <c r="G251" t="n">
        <v>32</v>
      </c>
      <c r="H251" t="n">
        <v>0.715</v>
      </c>
      <c r="I251" t="n">
        <v>-0.099</v>
      </c>
      <c r="J251" t="n">
        <v>19.872</v>
      </c>
      <c r="K251" t="inlineStr">
        <is>
          <t>Four crewmembers, two rescuers killed in Red Sea attack; U.S. strikes ship in Gulf of Oman - NBC News</t>
        </is>
      </c>
      <c r="L25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1" t="inlineStr">
        <is>
          <t>Israel-Hezbollah clashes kill 11 as Mideast conflict escalation gathers pace after U.S.-Iran strikes - CNBC</t>
        </is>
      </c>
      <c r="N25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1" t="inlineStr">
        <is>
          <t>Iran war updates: Trump says may ‘blow up’ Iran | US-Israel war on Iran News - aljazeera.com</t>
        </is>
      </c>
      <c r="P251" t="inlineStr">
        <is>
          <t>https://news.google.com/rss/articles/CBMiuwFBVV95cUxPWlkxSG8wVkZ1Q0VFS2JDNE5WblUtN3hQU0twSnVrMFNrWmxOaDVlVS1HUGZXbVFGWkJtTkNqQTdhR281Wm9DbEpOY1BqX05PMDBSTWV2eGxOSzMwMWFJNHRJWlktV0txM1pWMEF1RG10UVk0d041dW9xNXRyenljd0l1T2Rqek9jZWVKWHgzUXowdXN4SUhfZ0VtQWRsOFdIdUlZWXdNTncxb1pwb09hYUlNcGdORWFVak5v?oc=5</t>
        </is>
      </c>
      <c r="Q251" t="inlineStr">
        <is>
          <t>vader</t>
        </is>
      </c>
      <c r="R251" t="inlineStr">
        <is>
          <t>One Palestinian killed, 15 others wounded in Israel's Gaza truce violations - Anadolu Ajansı</t>
        </is>
      </c>
      <c r="S251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51" t="inlineStr">
        <is>
          <t>Iran and US trade blame for attacks, threatening fragile ceasefire - aljazeera.com</t>
        </is>
      </c>
      <c r="U25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51" t="inlineStr">
        <is>
          <t>Acting Special Coordinator for the Middle East Peace Process's remarks at the Security Council on the Report of the Secretary-General on the Implementation of UNSCR 2334 [as delivered] - DPPA</t>
        </is>
      </c>
      <c r="W25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52">
      <c r="A252" t="inlineStr">
        <is>
          <t>2026-10-05T17:06:18+00:00</t>
        </is>
      </c>
      <c r="B252" t="inlineStr">
        <is>
          <t>2026-10-05</t>
        </is>
      </c>
      <c r="C252" t="inlineStr">
        <is>
          <t>Macroeconomic Interventions</t>
        </is>
      </c>
      <c r="D252" t="n">
        <v>40</v>
      </c>
      <c r="E252" t="n">
        <v>0.381</v>
      </c>
      <c r="F252" t="n">
        <v>0.07000000000000001</v>
      </c>
      <c r="G252" t="n">
        <v>32</v>
      </c>
      <c r="H252" t="n">
        <v>0.249</v>
      </c>
      <c r="I252" t="n">
        <v>0.141</v>
      </c>
      <c r="J252" t="n">
        <v>-7.603</v>
      </c>
      <c r="K252" t="inlineStr">
        <is>
          <t>Bitcoin posts surprise rally as currency nears $70,000 for the first time since June - Fortune</t>
        </is>
      </c>
      <c r="L25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2" t="inlineStr">
        <is>
          <t>UAE injects $8bn into banking system as liquidity falls - thebanker.com</t>
        </is>
      </c>
      <c r="N25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52" t="inlineStr">
        <is>
          <t>Appetite for US Bonds as Safe Haven Rebounds After Global Yields Spike - The Daily Upside</t>
        </is>
      </c>
      <c r="P25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52" t="inlineStr">
        <is>
          <t>finbert</t>
        </is>
      </c>
      <c r="R252" t="inlineStr">
        <is>
          <t>Shelved mega deals may help 'stabilize' the market - Bond Buyer</t>
        </is>
      </c>
      <c r="S25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2" t="inlineStr">
        <is>
          <t>USD/JPY outlook: BOJ holds steady as intervention risk builds - FOREX.com</t>
        </is>
      </c>
      <c r="U25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52" t="inlineStr">
        <is>
          <t>Bessent calls Treasury bond buyback successful, reiterates he has tools to stabilize bond market - Yahoo Finance</t>
        </is>
      </c>
      <c r="W25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3">
      <c r="A253" t="inlineStr">
        <is>
          <t>2026-10-05T17:06:18+00:00</t>
        </is>
      </c>
      <c r="B253" t="inlineStr">
        <is>
          <t>2026-10-05</t>
        </is>
      </c>
      <c r="C253" t="inlineStr">
        <is>
          <t>Trade Wars &amp; Escalations</t>
        </is>
      </c>
      <c r="D253" t="n">
        <v>40</v>
      </c>
      <c r="E253" t="n">
        <v>0.5639999999999999</v>
      </c>
      <c r="F253" t="n">
        <v>-0.37</v>
      </c>
      <c r="G253" t="n">
        <v>29</v>
      </c>
      <c r="H253" t="n">
        <v>0.904</v>
      </c>
      <c r="I253" t="n">
        <v>0.153</v>
      </c>
      <c r="J253" t="n">
        <v>10.684</v>
      </c>
      <c r="K253" t="inlineStr">
        <is>
          <t>'A ban takes demand to zero overnight': How the latest U.S. trade war retaliation hits Canadian businesses - Yahoo! Finance Canada</t>
        </is>
      </c>
      <c r="L25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3" t="inlineStr">
        <is>
          <t>Trump uses Depression-era law to ban Canadian alcohol in trade war escalation - WRTV</t>
        </is>
      </c>
      <c r="N25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3" t="inlineStr">
        <is>
          <t>Iran and US trade threats after Houthi attacks escalate regional conflict - Reuters</t>
        </is>
      </c>
      <c r="P25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3" t="inlineStr">
        <is>
          <t>vader</t>
        </is>
      </c>
      <c r="R253" t="inlineStr">
        <is>
          <t>Toys Included in New U.S.-China Tariff Relief Agreement - The Toy Book</t>
        </is>
      </c>
      <c r="S25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3" t="inlineStr">
        <is>
          <t>U.S. and China Strike Agreement for $60 Billion in Tariff Relief - Modaes</t>
        </is>
      </c>
      <c r="U25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3" t="inlineStr">
        <is>
          <t>US and China agree on tariff relief for $30bn of nonsensitive goods each - Nikkei Asia</t>
        </is>
      </c>
      <c r="W25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4">
      <c r="A254" t="inlineStr">
        <is>
          <t>2026-10-06T01:17:37+00:00</t>
        </is>
      </c>
      <c r="B254" t="inlineStr">
        <is>
          <t>2026-10-06</t>
        </is>
      </c>
      <c r="C254" t="inlineStr">
        <is>
          <t>Middle East Oil Risk</t>
        </is>
      </c>
      <c r="D254" t="n">
        <v>46</v>
      </c>
      <c r="E254" t="n">
        <v>0.647</v>
      </c>
      <c r="F254" t="n">
        <v>-0.482</v>
      </c>
      <c r="G254" t="n">
        <v>32</v>
      </c>
      <c r="H254" t="n">
        <v>0.772</v>
      </c>
      <c r="I254" t="n">
        <v>-0.056</v>
      </c>
      <c r="J254" t="n">
        <v>18.985</v>
      </c>
      <c r="K254" t="inlineStr">
        <is>
          <t>Four crewmembers, two rescuers killed in Red Sea attack; U.S. strikes ship in Gulf of Oman - NBC News</t>
        </is>
      </c>
      <c r="L25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4" t="inlineStr">
        <is>
          <t>Israel-Hezbollah clashes kill 11 as Mideast conflict escalation gathers pace after U.S.-Iran strikes - CNBC</t>
        </is>
      </c>
      <c r="N25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4" t="inlineStr">
        <is>
          <t>Possible Fire Reported at Saudi Refinery as Attack Claims Circulate - Crude Oil Prices Today | OilPrice.com</t>
        </is>
      </c>
      <c r="P25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54" t="inlineStr">
        <is>
          <t>vader</t>
        </is>
      </c>
      <c r="R254" t="inlineStr">
        <is>
          <t>Iran and US trade blame for attacks, threatening fragile ceasefire - aljazeera.com</t>
        </is>
      </c>
      <c r="S25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4" t="inlineStr">
        <is>
          <t>Acting Special Coordinator for the Middle East Peace Process's remarks at the Security Council on the Report of the Secretary-General on the Implementation of UNSCR 2334 [as delivered] - DPPA</t>
        </is>
      </c>
      <c r="U25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4" t="inlineStr">
        <is>
          <t>Europe’s Chance to Revive Middle East Peace - foreignpolicy.com</t>
        </is>
      </c>
      <c r="W25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5">
      <c r="A255" t="inlineStr">
        <is>
          <t>2026-10-06T01:17:37+00:00</t>
        </is>
      </c>
      <c r="B255" t="inlineStr">
        <is>
          <t>2026-10-06</t>
        </is>
      </c>
      <c r="C255" t="inlineStr">
        <is>
          <t>Macroeconomic Interventions</t>
        </is>
      </c>
      <c r="D255" t="n">
        <v>40</v>
      </c>
      <c r="E255" t="n">
        <v>0.373</v>
      </c>
      <c r="F255" t="n">
        <v>0.12</v>
      </c>
      <c r="G255" t="n">
        <v>32</v>
      </c>
      <c r="H255" t="n">
        <v>0.256</v>
      </c>
      <c r="I255" t="n">
        <v>0.108</v>
      </c>
      <c r="J255" t="n">
        <v>-7.555</v>
      </c>
      <c r="K255" t="inlineStr">
        <is>
          <t>Bitcoin posts surprise rally as currency nears $70,000 for the first time since June - Fortune</t>
        </is>
      </c>
      <c r="L25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5" t="inlineStr">
        <is>
          <t>Appetite for US Bonds as Safe Haven Rebounds After Global Yields Spike - The Daily Upside</t>
        </is>
      </c>
      <c r="N25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5" t="inlineStr">
        <is>
          <t>UAE injects $8bn into banking system as liquidity falls - The Banker magazine</t>
        </is>
      </c>
      <c r="P25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5" t="inlineStr">
        <is>
          <t>finbert</t>
        </is>
      </c>
      <c r="R255" t="inlineStr">
        <is>
          <t>Shelved mega deals may help 'stabilize' the market - Bond Buyer</t>
        </is>
      </c>
      <c r="S25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5" t="inlineStr">
        <is>
          <t>Bessent calls Treasury bond buyback successful, reiterates he has tools to stabilize bond market - Yahoo Finance</t>
        </is>
      </c>
      <c r="U25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5" t="inlineStr">
        <is>
          <t>Rate Hike Coming in September? Prediction Markets for Next Fed Decision - Federal News Network</t>
        </is>
      </c>
      <c r="W25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56">
      <c r="A256" t="inlineStr">
        <is>
          <t>2026-10-06T01:17:37+00:00</t>
        </is>
      </c>
      <c r="B256" t="inlineStr">
        <is>
          <t>2026-10-06</t>
        </is>
      </c>
      <c r="C256" t="inlineStr">
        <is>
          <t>Trade Wars &amp; Escalations</t>
        </is>
      </c>
      <c r="D256" t="n">
        <v>40</v>
      </c>
      <c r="E256" t="n">
        <v>0.575</v>
      </c>
      <c r="F256" t="n">
        <v>-0.363</v>
      </c>
      <c r="G256" t="n">
        <v>29</v>
      </c>
      <c r="H256" t="n">
        <v>0.903</v>
      </c>
      <c r="I256" t="n">
        <v>0.198</v>
      </c>
      <c r="J256" t="n">
        <v>9.882999999999999</v>
      </c>
      <c r="K256" t="inlineStr">
        <is>
          <t>'A ban takes demand to zero overnight': How the latest U.S. trade war retaliation hits Canadian businesses - Yahoo! Finance Canada</t>
        </is>
      </c>
      <c r="L25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6" t="inlineStr">
        <is>
          <t>Trump uses Depression-era law to ban Canadian alcohol in trade war escalation - wrtv.com</t>
        </is>
      </c>
      <c r="N25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6" t="inlineStr">
        <is>
          <t>Iran and US trade threats after Houthi attacks escalate regional conflict - Reuters</t>
        </is>
      </c>
      <c r="P25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6" t="inlineStr">
        <is>
          <t>vader</t>
        </is>
      </c>
      <c r="R256" t="inlineStr">
        <is>
          <t>Toys Included in New U.S.-China Tariff Relief Agreement - The Toy Book</t>
        </is>
      </c>
      <c r="S25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6" t="inlineStr">
        <is>
          <t>U.S. and China Strike Agreement for $60 Billion in Tariff Relief - Modaes</t>
        </is>
      </c>
      <c r="U25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6" t="inlineStr">
        <is>
          <t>US and China agree on tariff relief for $30bn of nonsensitive goods each - Nikkei Asia</t>
        </is>
      </c>
      <c r="W25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7">
      <c r="A257" t="inlineStr">
        <is>
          <t>2026-10-06T11:13:07+00:00</t>
        </is>
      </c>
      <c r="B257" t="inlineStr">
        <is>
          <t>2026-10-06</t>
        </is>
      </c>
      <c r="C257" t="inlineStr">
        <is>
          <t>Middle East Oil Risk</t>
        </is>
      </c>
      <c r="D257" t="n">
        <v>45</v>
      </c>
      <c r="E257" t="n">
        <v>0.627</v>
      </c>
      <c r="F257" t="n">
        <v>-0.418</v>
      </c>
      <c r="G257" t="n">
        <v>32</v>
      </c>
      <c r="H257" t="n">
        <v>0.822</v>
      </c>
      <c r="I257" t="n">
        <v>-0.051</v>
      </c>
      <c r="J257" t="n">
        <v>16.725</v>
      </c>
      <c r="K257" t="inlineStr">
        <is>
          <t>Israel-Hezbollah clashes kill 11 as Mideast conflict escalation gathers pace after U.S.-Iran strikes - CNBC</t>
        </is>
      </c>
      <c r="L25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57" t="inlineStr">
        <is>
          <t>Iran war updates: Yemeni forces launch offensive to seize Houthi-held areas - Al Jazeera</t>
        </is>
      </c>
      <c r="N257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O257" t="inlineStr">
        <is>
          <t>Iran war updates: UAE frees Iranian prisoners, Yemeni forces strike Sanaa - Al Jazeera</t>
        </is>
      </c>
      <c r="P257" t="inlineStr">
        <is>
          <t>https://news.google.com/rss/articles/CBMivAFBVV95cUxQa1VIS3ZuMjVWckRFYnZtcHc3cms4NzJwUGxYTUNfcWFTdDU1V2JBbHBreHcxU3RIWUxzQjBVNEowakotTzhtOF9NMzFFRkIyZUxBYkJTM2F4a1NvbWlHdFVvQ0pwaV9hcUlmRkpIS2Etc1JDRnZzQmJLd1JFVndXY1V0cjJFcUwtMTJ2a1ZuT3pLZ0FmWlp3S29ka3I5RE95VjZJVFpXRmFrOFp0LVBPZGpTZmJ1cGg1WWxKUtIBwgFBVV95cUxObzg1V185MmNCZ3V4QnN6NmZFWFo3N0dMMlFzdEFiOUhldTZEZDh4VFlsZ2NBRTI1Vk1vSnhYcTE5Qkd6ekN0SXRQbFY2MGpXX2pUVWFTWUJ3LWNrbDBUZE9QaC1OSm5NNkRlWXFpWEVrbVZlblItZTYzU29QLXZqQ3pYTDZHbkZSTWFUOVhTR0IxYkJLQUUwdEFOX0MzZi1FNVpkQkk0dDhWekk2LXFzNUZwTmlPQWdEYkFQLWgwRk8tZw?oc=5</t>
        </is>
      </c>
      <c r="Q257" t="inlineStr">
        <is>
          <t>vader</t>
        </is>
      </c>
      <c r="R257" t="inlineStr">
        <is>
          <t>Iran and US trade blame for attacks, threatening fragile ceasefire - Al Jazeera</t>
        </is>
      </c>
      <c r="S257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7" t="inlineStr">
        <is>
          <t>Acting Special Coordinator for the Middle East Peace Process's remarks at the Security Council on the Report of the Secretary-General on the Implementation of UNSCR 2334 [as delivered] - DPPA</t>
        </is>
      </c>
      <c r="U25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7" t="inlineStr">
        <is>
          <t>Europe’s Chance to Revive Middle East Peace - Foreign Policy</t>
        </is>
      </c>
      <c r="W257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8">
      <c r="A258" t="inlineStr">
        <is>
          <t>2026-10-06T11:13:07+00:00</t>
        </is>
      </c>
      <c r="B258" t="inlineStr">
        <is>
          <t>2026-10-06</t>
        </is>
      </c>
      <c r="C258" t="inlineStr">
        <is>
          <t>Macroeconomic Interventions</t>
        </is>
      </c>
      <c r="D258" t="n">
        <v>40</v>
      </c>
      <c r="E258" t="n">
        <v>0.389</v>
      </c>
      <c r="F258" t="n">
        <v>0.104</v>
      </c>
      <c r="G258" t="n">
        <v>32</v>
      </c>
      <c r="H258" t="n">
        <v>0.384</v>
      </c>
      <c r="I258" t="n">
        <v>0.089</v>
      </c>
      <c r="J258" t="n">
        <v>-9.923999999999999</v>
      </c>
      <c r="K258" t="inlineStr">
        <is>
          <t>Bitcoin posts surprise rally as currency nears $70,000 for the first time since June - Fortune</t>
        </is>
      </c>
      <c r="L25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8" t="inlineStr">
        <is>
          <t>Appetite for US Bonds as Safe Haven Rebounds After Global Yields Spike - The Daily Upside</t>
        </is>
      </c>
      <c r="N25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8" t="inlineStr">
        <is>
          <t>UAE injects $8bn into banking system as liquidity falls - The Banker magazine</t>
        </is>
      </c>
      <c r="P25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8" t="inlineStr">
        <is>
          <t>finbert</t>
        </is>
      </c>
      <c r="R258" t="inlineStr">
        <is>
          <t>Shelved mega deals may help 'stabilize' the market - Bond Buyer</t>
        </is>
      </c>
      <c r="S25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8" t="inlineStr">
        <is>
          <t>Bessent calls Treasury bond buyback successful, reiterates he has tools to stabilize bond market - Yahoo Finance</t>
        </is>
      </c>
      <c r="U25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8" t="inlineStr">
        <is>
          <t>Will the Federal Reserve raise interest rates? Here is what experts predict for July's meeting. - CBS News</t>
        </is>
      </c>
      <c r="W258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</row>
    <row r="259">
      <c r="A259" t="inlineStr">
        <is>
          <t>2026-10-06T11:13:07+00:00</t>
        </is>
      </c>
      <c r="B259" t="inlineStr">
        <is>
          <t>2026-10-06</t>
        </is>
      </c>
      <c r="C259" t="inlineStr">
        <is>
          <t>Trade Wars &amp; Escalations</t>
        </is>
      </c>
      <c r="D259" t="n">
        <v>40</v>
      </c>
      <c r="E259" t="n">
        <v>0.418</v>
      </c>
      <c r="F259" t="n">
        <v>-0.292</v>
      </c>
      <c r="G259" t="n">
        <v>29</v>
      </c>
      <c r="H259" t="n">
        <v>0.955</v>
      </c>
      <c r="I259" t="n">
        <v>0.178</v>
      </c>
      <c r="J259" t="n">
        <v>8.766999999999999</v>
      </c>
      <c r="K259" t="inlineStr">
        <is>
          <t>The US Is Badly Losing Its Trade War with China - Cato Institute</t>
        </is>
      </c>
      <c r="L25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59" t="inlineStr">
        <is>
          <t>'A ban takes demand to zero overnight': How the latest U.S. trade war retaliation hits Canadian businesses - Yahoo! Finance Canada</t>
        </is>
      </c>
      <c r="N25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59" t="inlineStr">
        <is>
          <t>Trump uses Depression-era law to ban Canadian alcohol in trade war escalation - wrtv.com</t>
        </is>
      </c>
      <c r="P25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9" t="inlineStr">
        <is>
          <t>vader</t>
        </is>
      </c>
      <c r="R259" t="inlineStr">
        <is>
          <t>Toys Included in New U.S.-China Tariff Relief Agreement - The Toy Book</t>
        </is>
      </c>
      <c r="S25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9" t="inlineStr">
        <is>
          <t>U.S. and China Strike Agreement for $60 Billion in Tariff Relief - Modaes</t>
        </is>
      </c>
      <c r="U25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9" t="inlineStr">
        <is>
          <t>US and China agree on tariff relief for $30bn of nonsensitive goods each - Nikkei Asia</t>
        </is>
      </c>
      <c r="W25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60">
      <c r="A260" t="inlineStr">
        <is>
          <t>2026-10-06T18:18:33+00:00</t>
        </is>
      </c>
      <c r="B260" t="inlineStr">
        <is>
          <t>2026-10-06</t>
        </is>
      </c>
      <c r="C260" t="inlineStr">
        <is>
          <t>Middle East Oil Risk</t>
        </is>
      </c>
      <c r="D260" t="n">
        <v>46</v>
      </c>
      <c r="E260" t="n">
        <v>0.64</v>
      </c>
      <c r="F260" t="n">
        <v>-0.391</v>
      </c>
      <c r="G260" t="n">
        <v>32</v>
      </c>
      <c r="H260" t="n">
        <v>0.765</v>
      </c>
      <c r="I260" t="n">
        <v>-0.101</v>
      </c>
      <c r="J260" t="n">
        <v>17.603</v>
      </c>
      <c r="K260" t="inlineStr">
        <is>
          <t>USA/Israel/Iran: Investigation into US-Israeli strikes on Tehran neighbourhoods reveals devastating civilian harm - Amnesty International</t>
        </is>
      </c>
      <c r="L26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0" t="inlineStr">
        <is>
          <t>Israeli strikes on southern Lebanese town kill 13 as fears of escalation mount - Reuters</t>
        </is>
      </c>
      <c r="N26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60" t="inlineStr">
        <is>
          <t>Israel-Hezbollah clashes kill 11 as Mideast conflict escalation gathers pace after U.S.-Iran strikes - CNBC</t>
        </is>
      </c>
      <c r="P26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0" t="inlineStr">
        <is>
          <t>vader</t>
        </is>
      </c>
      <c r="R260" t="inlineStr">
        <is>
          <t>Iran and US trade blame for attacks, threatening fragile ceasefire - Al Jazeera</t>
        </is>
      </c>
      <c r="S260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0" t="inlineStr">
        <is>
          <t>Acting Special Coordinator for the Middle East Peace Process's remarks at the Security Council on the Report of the Secretary-General on the Implementation of UNSCR 2334 [as delivered] - DPPA</t>
        </is>
      </c>
      <c r="U26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0" t="inlineStr">
        <is>
          <t>Europe’s Chance to Revive Middle East Peace - Foreign Policy</t>
        </is>
      </c>
      <c r="W260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1">
      <c r="A261" t="inlineStr">
        <is>
          <t>2026-10-06T18:18:33+00:00</t>
        </is>
      </c>
      <c r="B261" t="inlineStr">
        <is>
          <t>2026-10-06</t>
        </is>
      </c>
      <c r="C261" t="inlineStr">
        <is>
          <t>Macroeconomic Interventions</t>
        </is>
      </c>
      <c r="D261" t="n">
        <v>40</v>
      </c>
      <c r="E261" t="n">
        <v>0.321</v>
      </c>
      <c r="F261" t="n">
        <v>0.099</v>
      </c>
      <c r="G261" t="n">
        <v>32</v>
      </c>
      <c r="H261" t="n">
        <v>0.415</v>
      </c>
      <c r="I261" t="n">
        <v>0.051</v>
      </c>
      <c r="J261" t="n">
        <v>-9.074999999999999</v>
      </c>
      <c r="K261" t="inlineStr">
        <is>
          <t>Bitcoin posts surprise rally as currency nears $70,000 for the first time since June - Fortune</t>
        </is>
      </c>
      <c r="L26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1" t="inlineStr">
        <is>
          <t>Appetite for US Bonds as Safe Haven Rebounds After Global Yields Spike - The Daily Upside</t>
        </is>
      </c>
      <c r="N26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1" t="inlineStr">
        <is>
          <t>UAE injects $8bn into banking system as liquidity falls - The Banker magazine</t>
        </is>
      </c>
      <c r="P26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1" t="inlineStr">
        <is>
          <t>finbert</t>
        </is>
      </c>
      <c r="R261" t="inlineStr">
        <is>
          <t>Rate Hike Coming in September? Prediction Markets for Next Fed Decision - Federal News Network</t>
        </is>
      </c>
      <c r="S26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261" t="inlineStr">
        <is>
          <t>Federal Funds Rate History 1990 to 2026 - Forbes</t>
        </is>
      </c>
      <c r="U26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61" t="inlineStr">
        <is>
          <t>Shirai Sees BOJ Policy Still Dovish Even After Ueda Delivers What Many See as Hawkish Hold - Kathleen Hays Presents: Central Bank Central</t>
        </is>
      </c>
      <c r="W261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62">
      <c r="A262" t="inlineStr">
        <is>
          <t>2026-10-06T18:18:33+00:00</t>
        </is>
      </c>
      <c r="B262" t="inlineStr">
        <is>
          <t>2026-10-06</t>
        </is>
      </c>
      <c r="C262" t="inlineStr">
        <is>
          <t>Trade Wars &amp; Escalations</t>
        </is>
      </c>
      <c r="D262" t="n">
        <v>40</v>
      </c>
      <c r="E262" t="n">
        <v>0.544</v>
      </c>
      <c r="F262" t="n">
        <v>-0.283</v>
      </c>
      <c r="G262" t="n">
        <v>30</v>
      </c>
      <c r="H262" t="n">
        <v>0.9330000000000001</v>
      </c>
      <c r="I262" t="n">
        <v>0.171</v>
      </c>
      <c r="J262" t="n">
        <v>8.082000000000001</v>
      </c>
      <c r="K262" t="inlineStr">
        <is>
          <t>'A ban takes demand to zero overnight': How the latest U.S. trade war retaliation hits Canadian businesses - Yahoo! Finance Canada</t>
        </is>
      </c>
      <c r="L26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2" t="inlineStr">
        <is>
          <t>Trump uses Depression-era law to ban Canadian alcohol in trade war escalation - WRTV</t>
        </is>
      </c>
      <c r="N26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2" t="inlineStr">
        <is>
          <t>Trump’s trade war with Canada grows increasingly costly as Section 338 tariffs harm both economies - Equitable Growth</t>
        </is>
      </c>
      <c r="P26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262" t="inlineStr">
        <is>
          <t>vader</t>
        </is>
      </c>
      <c r="R262" t="inlineStr">
        <is>
          <t>U.S. and China Strike Agreement for $60 Billion in Tariff Relief - Modaes</t>
        </is>
      </c>
      <c r="S26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2" t="inlineStr">
        <is>
          <t>US and China agree on tariff relief for $30bn of nonsensitive goods each - Nikkei Asia</t>
        </is>
      </c>
      <c r="U26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2" t="inlineStr">
        <is>
          <t>US, China Agree To $30 Bln Tariff Relief - RTTNews</t>
        </is>
      </c>
      <c r="W26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3">
      <c r="A263" t="inlineStr">
        <is>
          <t>2026-10-06T23:45:41+00:00</t>
        </is>
      </c>
      <c r="B263" t="inlineStr">
        <is>
          <t>2026-10-06</t>
        </is>
      </c>
      <c r="C263" t="inlineStr">
        <is>
          <t>Middle East Oil Risk</t>
        </is>
      </c>
      <c r="D263" t="n">
        <v>46</v>
      </c>
      <c r="E263" t="n">
        <v>0.646</v>
      </c>
      <c r="F263" t="n">
        <v>-0.388</v>
      </c>
      <c r="G263" t="n">
        <v>32</v>
      </c>
      <c r="H263" t="n">
        <v>0.712</v>
      </c>
      <c r="I263" t="n">
        <v>-0.08699999999999999</v>
      </c>
      <c r="J263" t="n">
        <v>17.319</v>
      </c>
      <c r="K263" t="inlineStr">
        <is>
          <t>USA/Israel/Iran: Investigation into US-Israeli strikes on Tehran neighbourhoods reveals devastating civilian harm - Amnesty International</t>
        </is>
      </c>
      <c r="L26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3" t="inlineStr">
        <is>
          <t>Israel-Hezbollah clashes kill 11 as Mideast conflict escalation gathers pace after U.S.-Iran strikes - CNBC</t>
        </is>
      </c>
      <c r="N26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3" t="inlineStr">
        <is>
          <t>Oil Rises as US-Iran Tension Escalates After Iraq Strikes, Missile Attack - EnergyNow.com</t>
        </is>
      </c>
      <c r="P263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3" t="inlineStr">
        <is>
          <t>vader</t>
        </is>
      </c>
      <c r="R263" t="inlineStr">
        <is>
          <t>Iran and US trade blame for attacks, threatening fragile ceasefire - Al Jazeera</t>
        </is>
      </c>
      <c r="S26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3" t="inlineStr">
        <is>
          <t>Acting Special Coordinator for the Middle East Peace Process's remarks at the Security Council on the Report of the Secretary-General on the Implementation of UNSCR 2334 [as delivered] - DPPA</t>
        </is>
      </c>
      <c r="U26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3" t="inlineStr">
        <is>
          <t>Europe’s Chance to Revive Middle East Peace - Foreign Policy</t>
        </is>
      </c>
      <c r="W263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4">
      <c r="A264" t="inlineStr">
        <is>
          <t>2026-10-06T23:45:41+00:00</t>
        </is>
      </c>
      <c r="B264" t="inlineStr">
        <is>
          <t>2026-10-06</t>
        </is>
      </c>
      <c r="C264" t="inlineStr">
        <is>
          <t>Macroeconomic Interventions</t>
        </is>
      </c>
      <c r="D264" t="n">
        <v>40</v>
      </c>
      <c r="E264" t="n">
        <v>0.369</v>
      </c>
      <c r="F264" t="n">
        <v>0.095</v>
      </c>
      <c r="G264" t="n">
        <v>32</v>
      </c>
      <c r="H264" t="n">
        <v>0.455</v>
      </c>
      <c r="I264" t="n">
        <v>0.126</v>
      </c>
      <c r="J264" t="n">
        <v>-10.654</v>
      </c>
      <c r="K264" t="inlineStr">
        <is>
          <t>Bitcoin posts surprise rally as currency nears $70,000 for the first time since June - Fortune</t>
        </is>
      </c>
      <c r="L26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4" t="inlineStr">
        <is>
          <t>Appetite for US Bonds as Safe Haven Rebounds After Global Yields Spike - The Daily Upside</t>
        </is>
      </c>
      <c r="N26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4" t="inlineStr">
        <is>
          <t>UAE injects $8bn into banking system as liquidity falls - The Banker magazine</t>
        </is>
      </c>
      <c r="P26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4" t="inlineStr">
        <is>
          <t>finbert</t>
        </is>
      </c>
      <c r="R264" t="inlineStr">
        <is>
          <t>USD/JPY outlook: BOJ holds steady as intervention risk builds - FOREX.com</t>
        </is>
      </c>
      <c r="S26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64" t="inlineStr">
        <is>
          <t>Rate Hike Coming in September? Prediction Markets for Next Fed Decision - Federal News Network</t>
        </is>
      </c>
      <c r="U26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264" t="inlineStr">
        <is>
          <t>Federal Funds Rate History 1990 to 2026 - Forbes</t>
        </is>
      </c>
      <c r="W26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65">
      <c r="A265" t="inlineStr">
        <is>
          <t>2026-10-06T23:45:41+00:00</t>
        </is>
      </c>
      <c r="B265" t="inlineStr">
        <is>
          <t>2026-10-06</t>
        </is>
      </c>
      <c r="C265" t="inlineStr">
        <is>
          <t>Trade Wars &amp; Escalations</t>
        </is>
      </c>
      <c r="D265" t="n">
        <v>40</v>
      </c>
      <c r="E265" t="n">
        <v>0.52</v>
      </c>
      <c r="F265" t="n">
        <v>-0.271</v>
      </c>
      <c r="G265" t="n">
        <v>30</v>
      </c>
      <c r="H265" t="n">
        <v>0.9330000000000001</v>
      </c>
      <c r="I265" t="n">
        <v>0.171</v>
      </c>
      <c r="J265" t="n">
        <v>7.855</v>
      </c>
      <c r="K265" t="inlineStr">
        <is>
          <t>'A ban takes demand to zero overnight': How the latest U.S. trade war retaliation hits Canadian businesses - Yahoo! Finance Canada</t>
        </is>
      </c>
      <c r="L26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5" t="inlineStr">
        <is>
          <t>Trump uses Depression-era law to ban Canadian alcohol in trade war escalation - WRTV</t>
        </is>
      </c>
      <c r="N26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5" t="inlineStr">
        <is>
          <t>Iran and US trade threats after Houthi attacks escalate regional conflict - Reuters</t>
        </is>
      </c>
      <c r="P26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65" t="inlineStr">
        <is>
          <t>vader</t>
        </is>
      </c>
      <c r="R265" t="inlineStr">
        <is>
          <t>U.S. and China Strike Agreement for $60 Billion in Tariff Relief - Modaes</t>
        </is>
      </c>
      <c r="S26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5" t="inlineStr">
        <is>
          <t>US and China agree on tariff relief for $30bn of nonsensitive goods each - Nikkei Asia</t>
        </is>
      </c>
      <c r="U26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5" t="inlineStr">
        <is>
          <t>US, China Agree To $30 Bln Tariff Relief - RTTNews</t>
        </is>
      </c>
      <c r="W265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6">
      <c r="A266" t="inlineStr">
        <is>
          <t>2026-10-07T05:44:15+00:00</t>
        </is>
      </c>
      <c r="B266" t="inlineStr">
        <is>
          <t>2026-10-07</t>
        </is>
      </c>
      <c r="C266" t="inlineStr">
        <is>
          <t>Middle East Oil Risk</t>
        </is>
      </c>
      <c r="D266" t="n">
        <v>46</v>
      </c>
      <c r="E266" t="n">
        <v>0.625</v>
      </c>
      <c r="F266" t="n">
        <v>-0.419</v>
      </c>
      <c r="G266" t="n">
        <v>32</v>
      </c>
      <c r="H266" t="n">
        <v>0.766</v>
      </c>
      <c r="I266" t="n">
        <v>-0.052</v>
      </c>
      <c r="J266" t="n">
        <v>17.473</v>
      </c>
      <c r="K266" t="inlineStr">
        <is>
          <t>USA/Israel/Iran: Investigation into US-Israeli strikes on Tehran neighbourhoods reveals devastating civilian harm - Amnesty International</t>
        </is>
      </c>
      <c r="L26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6" t="inlineStr">
        <is>
          <t>Israel-Hezbollah clashes kill 11 as Mideast conflict escalation gathers pace after U.S.-Iran strikes - CNBC</t>
        </is>
      </c>
      <c r="N26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6" t="inlineStr">
        <is>
          <t>Oil Rises as US-Iran Tension Escalates After Iraq Strikes, Missile Attack - EnergyNow.com</t>
        </is>
      </c>
      <c r="P266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6" t="inlineStr">
        <is>
          <t>vader</t>
        </is>
      </c>
      <c r="R266" t="inlineStr">
        <is>
          <t>Iran and US trade blame for attacks, threatening fragile ceasefire - Al Jazeera</t>
        </is>
      </c>
      <c r="S26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6" t="inlineStr">
        <is>
          <t>Acting Special Coordinator for the Middle East Peace Process's remarks at the Security Council on the Report of the Secretary-General on the Implementation of UNSCR 2334 [as delivered] - DPPA</t>
        </is>
      </c>
      <c r="U26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6" t="inlineStr">
        <is>
          <t>Europe’s Chance to Revive Middle East Peace - Foreign Policy</t>
        </is>
      </c>
      <c r="W266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7">
      <c r="A267" t="inlineStr">
        <is>
          <t>2026-10-07T05:44:15+00:00</t>
        </is>
      </c>
      <c r="B267" t="inlineStr">
        <is>
          <t>2026-10-07</t>
        </is>
      </c>
      <c r="C267" t="inlineStr">
        <is>
          <t>Macroeconomic Interventions</t>
        </is>
      </c>
      <c r="D267" t="n">
        <v>40</v>
      </c>
      <c r="E267" t="n">
        <v>0.349</v>
      </c>
      <c r="F267" t="n">
        <v>0.068</v>
      </c>
      <c r="G267" t="n">
        <v>32</v>
      </c>
      <c r="H267" t="n">
        <v>0.38</v>
      </c>
      <c r="I267" t="n">
        <v>0.128</v>
      </c>
      <c r="J267" t="n">
        <v>-9.069000000000001</v>
      </c>
      <c r="K267" t="inlineStr">
        <is>
          <t>Bitcoin posts surprise rally as currency nears $70,000 for the first time since June - Fortune</t>
        </is>
      </c>
      <c r="L26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7" t="inlineStr">
        <is>
          <t>Appetite for US Bonds as Safe Haven Rebounds After Global Yields Spike - The Daily Upside</t>
        </is>
      </c>
      <c r="N26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7" t="inlineStr">
        <is>
          <t>China Injected $52 Billion and Bitcoin Fell, Three More Days Are Scheduled - Yahoo Finance</t>
        </is>
      </c>
      <c r="P26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67" t="inlineStr">
        <is>
          <t>finbert</t>
        </is>
      </c>
      <c r="R267" t="inlineStr">
        <is>
          <t>Shelved mega deals may help 'stabilize' the market - Bond Buyer</t>
        </is>
      </c>
      <c r="S26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67" t="inlineStr">
        <is>
          <t>USD/JPY outlook: BOJ holds steady as intervention risk builds - FOREX.com</t>
        </is>
      </c>
      <c r="U26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67" t="inlineStr">
        <is>
          <t>Rate Hike Coming in September? Prediction Markets for Next Fed Decision - Federal News Network</t>
        </is>
      </c>
      <c r="W26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68">
      <c r="A268" t="inlineStr">
        <is>
          <t>2026-10-07T05:44:15+00:00</t>
        </is>
      </c>
      <c r="B268" t="inlineStr">
        <is>
          <t>2026-10-07</t>
        </is>
      </c>
      <c r="C268" t="inlineStr">
        <is>
          <t>Trade Wars &amp; Escalations</t>
        </is>
      </c>
      <c r="D268" t="n">
        <v>40</v>
      </c>
      <c r="E268" t="n">
        <v>0.545</v>
      </c>
      <c r="F268" t="n">
        <v>-0.299</v>
      </c>
      <c r="G268" t="n">
        <v>30</v>
      </c>
      <c r="H268" t="n">
        <v>0.959</v>
      </c>
      <c r="I268" t="n">
        <v>0.172</v>
      </c>
      <c r="J268" t="n">
        <v>8.411</v>
      </c>
      <c r="K268" t="inlineStr">
        <is>
          <t>The US Is Badly Losing Its Trade War with China - Cato Institute</t>
        </is>
      </c>
      <c r="L26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68" t="inlineStr">
        <is>
          <t>'A ban takes demand to zero overnight': How the latest U.S. trade war retaliation hits Canadian businesses - Yahoo! Finance Canada</t>
        </is>
      </c>
      <c r="N26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68" t="inlineStr">
        <is>
          <t>Trump uses Depression-era law to ban Canadian alcohol in trade war escalation - WRTV</t>
        </is>
      </c>
      <c r="P26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68" t="inlineStr">
        <is>
          <t>vader</t>
        </is>
      </c>
      <c r="R268" t="inlineStr">
        <is>
          <t>U.S. and China Strike Agreement for $60 Billion in Tariff Relief - Modaes</t>
        </is>
      </c>
      <c r="S26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8" t="inlineStr">
        <is>
          <t>US and China agree on tariff relief for $30bn of nonsensitive goods each - Nikkei Asia</t>
        </is>
      </c>
      <c r="U26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8" t="inlineStr">
        <is>
          <t>US, China Agree To $30 Bln Tariff Relief - RTTNews</t>
        </is>
      </c>
      <c r="W268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9">
      <c r="A269" t="inlineStr">
        <is>
          <t>2026-10-07T15:30:52+00:00</t>
        </is>
      </c>
      <c r="B269" t="inlineStr">
        <is>
          <t>2026-10-07</t>
        </is>
      </c>
      <c r="C269" t="inlineStr">
        <is>
          <t>Middle East Oil Risk</t>
        </is>
      </c>
      <c r="D269" t="n">
        <v>46</v>
      </c>
      <c r="E269" t="n">
        <v>0.505</v>
      </c>
      <c r="F269" t="n">
        <v>-0.422</v>
      </c>
      <c r="G269" t="n">
        <v>32</v>
      </c>
      <c r="H269" t="n">
        <v>0.716</v>
      </c>
      <c r="I269" t="n">
        <v>-0.027</v>
      </c>
      <c r="J269" t="n">
        <v>17.132</v>
      </c>
      <c r="K269" t="inlineStr">
        <is>
          <t>Trump threatens more strikes on Iran. Tensions from Hormuz to Kuwait and Gaza lead to more warnings - PBS</t>
        </is>
      </c>
      <c r="L26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69" t="inlineStr">
        <is>
          <t>Israel-Hezbollah clashes kill 11 as Mideast conflict escalation gathers pace after U.S.-Iran strikes - CNBC</t>
        </is>
      </c>
      <c r="N26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9" t="inlineStr">
        <is>
          <t>Iran War Updates: U.S. Launches New Strikes, as Tensions Escalate Over Strait of Hormuz - The New York Times</t>
        </is>
      </c>
      <c r="P269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269" t="inlineStr">
        <is>
          <t>vader</t>
        </is>
      </c>
      <c r="R269" t="inlineStr">
        <is>
          <t>Iran and US trade blame for attacks, threatening fragile ceasefire - Al Jazeera</t>
        </is>
      </c>
      <c r="S26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9" t="inlineStr">
        <is>
          <t>Acting Special Coordinator for the Middle East Peace Process's remarks at the Security Council on the Report of the Secretary-General on the Implementation of UNSCR 2334 [as delivered] - DPPA</t>
        </is>
      </c>
      <c r="U26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9" t="inlineStr">
        <is>
          <t>Europe’s Chance to Revive Middle East Peace - Foreign Policy</t>
        </is>
      </c>
      <c r="W269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0">
      <c r="A270" t="inlineStr">
        <is>
          <t>2026-10-07T15:30:52+00:00</t>
        </is>
      </c>
      <c r="B270" t="inlineStr">
        <is>
          <t>2026-10-07</t>
        </is>
      </c>
      <c r="C270" t="inlineStr">
        <is>
          <t>Macroeconomic Interventions</t>
        </is>
      </c>
      <c r="D270" t="n">
        <v>40</v>
      </c>
      <c r="E270" t="n">
        <v>0.309</v>
      </c>
      <c r="F270" t="n">
        <v>0.08</v>
      </c>
      <c r="G270" t="n">
        <v>32</v>
      </c>
      <c r="H270" t="n">
        <v>0.308</v>
      </c>
      <c r="I270" t="n">
        <v>0.06</v>
      </c>
      <c r="J270" t="n">
        <v>-7.11</v>
      </c>
      <c r="K270" t="inlineStr">
        <is>
          <t>Bitcoin posts surprise rally as currency nears $70,000 for the first time since June - Fortune</t>
        </is>
      </c>
      <c r="L27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0" t="inlineStr">
        <is>
          <t>Appetite for US Bonds as Safe Haven Rebounds After Global Yields Spike - The Daily Upside</t>
        </is>
      </c>
      <c r="N27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70" t="inlineStr">
        <is>
          <t>How the RBI manages cash in the banking system - Substack</t>
        </is>
      </c>
      <c r="P27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0" t="inlineStr">
        <is>
          <t>finbert</t>
        </is>
      </c>
      <c r="R270" t="inlineStr">
        <is>
          <t>Shelved mega deals may help 'stabilize' the market - Bond Buyer</t>
        </is>
      </c>
      <c r="S27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0" t="inlineStr">
        <is>
          <t>Federal Funds Rate History 1990 to 2026 - Forbes</t>
        </is>
      </c>
      <c r="U27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0" t="inlineStr">
        <is>
          <t>Shirai Sees BOJ Policy Still Dovish Even After Ueda Delivers What Many See as Hawkish Hold - Kathleen Hays Presents: Central Bank Central</t>
        </is>
      </c>
      <c r="W27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71">
      <c r="A271" t="inlineStr">
        <is>
          <t>2026-10-07T15:30:52+00:00</t>
        </is>
      </c>
      <c r="B271" t="inlineStr">
        <is>
          <t>2026-10-07</t>
        </is>
      </c>
      <c r="C271" t="inlineStr">
        <is>
          <t>Trade Wars &amp; Escalations</t>
        </is>
      </c>
      <c r="D271" t="n">
        <v>40</v>
      </c>
      <c r="E271" t="n">
        <v>0.574</v>
      </c>
      <c r="F271" t="n">
        <v>-0.305</v>
      </c>
      <c r="G271" t="n">
        <v>30</v>
      </c>
      <c r="H271" t="n">
        <v>0.896</v>
      </c>
      <c r="I271" t="n">
        <v>0.21</v>
      </c>
      <c r="J271" t="n">
        <v>7.946</v>
      </c>
      <c r="K271" t="inlineStr">
        <is>
          <t>The US Is Badly Losing Its Trade War with China - Cato Institute</t>
        </is>
      </c>
      <c r="L27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1" t="inlineStr">
        <is>
          <t>Trump uses Depression-era law to ban Canadian alcohol in trade war escalation - WRTV</t>
        </is>
      </c>
      <c r="N27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1" t="inlineStr">
        <is>
          <t>Iran and US trade threats after Houthi attacks escalate regional conflict - Reuters</t>
        </is>
      </c>
      <c r="P27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1" t="inlineStr">
        <is>
          <t>vader</t>
        </is>
      </c>
      <c r="R271" t="inlineStr">
        <is>
          <t>BD Wins Tariff Relief Through Manufacturing Pact - Medical Device and Diagnostic industry</t>
        </is>
      </c>
      <c r="S27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1" t="inlineStr">
        <is>
          <t>Toys Included in New U.S.-China Tariff Relief Agreement - The Toy Book</t>
        </is>
      </c>
      <c r="U27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1" t="inlineStr">
        <is>
          <t>U.S. and China Strike Agreement for $60 Billion in Tariff Relief - Modaes</t>
        </is>
      </c>
      <c r="W27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2">
      <c r="A272" t="inlineStr">
        <is>
          <t>2026-10-07T21:14:03+00:00</t>
        </is>
      </c>
      <c r="B272" t="inlineStr">
        <is>
          <t>2026-10-07</t>
        </is>
      </c>
      <c r="C272" t="inlineStr">
        <is>
          <t>Middle East Oil Risk</t>
        </is>
      </c>
      <c r="D272" t="n">
        <v>47</v>
      </c>
      <c r="E272" t="n">
        <v>0.5620000000000001</v>
      </c>
      <c r="F272" t="n">
        <v>-0.394</v>
      </c>
      <c r="G272" t="n">
        <v>32</v>
      </c>
      <c r="H272" t="n">
        <v>0.745</v>
      </c>
      <c r="I272" t="n">
        <v>-0.019</v>
      </c>
      <c r="J272" t="n">
        <v>17.059</v>
      </c>
      <c r="K272" t="inlineStr">
        <is>
          <t>Israel-Hezbollah clashes kill 11 as Mideast conflict escalation gathers pace after U.S.-Iran strikes - CNBC</t>
        </is>
      </c>
      <c r="L27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2" t="inlineStr">
        <is>
          <t>Oil Rises as US-Iran Tension Escalates After Iraq Strikes, Missile Attack - EnergyNow.com</t>
        </is>
      </c>
      <c r="N272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O272" t="inlineStr">
        <is>
          <t>Iran Faces Severe Challenges to Rebuild Missile and Drone Production - War on the Rocks</t>
        </is>
      </c>
      <c r="P272" t="inlineStr">
        <is>
          <t>https://news.google.com/rss/articles/CBMimwFBVV95cUxQbklJOHZNTThVVTZnMXVaaEZHQl9OUF91elA4bnJUemEtNHZJWHNkclYyaV9JeURJSmRPN1doNklDM1JGNG9UVlhKWkNtWldVbTRKS2RvSGRKM3hfQ0p0dzc3UnNDLWRRWE1WeGk2S1hXNzR2cGxqNWMxcmR5d3B2djhIVmZBQ2kwV19DdUJYRTdmdGxmazZPaVo0aw?oc=5</t>
        </is>
      </c>
      <c r="Q272" t="inlineStr">
        <is>
          <t>vader</t>
        </is>
      </c>
      <c r="R272" t="inlineStr">
        <is>
          <t>Iran and US trade blame for attacks, threatening fragile ceasefire - Al Jazeera</t>
        </is>
      </c>
      <c r="S27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2" t="inlineStr">
        <is>
          <t>Acting Special Coordinator for the Middle East Peace Process's remarks at the Security Council on the Report of the Secretary-General on the Implementation of UNSCR 2334 [as delivered] - DPPA</t>
        </is>
      </c>
      <c r="U27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2" t="inlineStr">
        <is>
          <t>Europe’s Chance to Revive Middle East Peace - Foreign Policy</t>
        </is>
      </c>
      <c r="W27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3">
      <c r="A273" t="inlineStr">
        <is>
          <t>2026-10-07T21:14:03+00:00</t>
        </is>
      </c>
      <c r="B273" t="inlineStr">
        <is>
          <t>2026-10-07</t>
        </is>
      </c>
      <c r="C273" t="inlineStr">
        <is>
          <t>Macroeconomic Interventions</t>
        </is>
      </c>
      <c r="D273" t="n">
        <v>40</v>
      </c>
      <c r="E273" t="n">
        <v>0.22</v>
      </c>
      <c r="F273" t="n">
        <v>0.066</v>
      </c>
      <c r="G273" t="n">
        <v>32</v>
      </c>
      <c r="H273" t="n">
        <v>0.323</v>
      </c>
      <c r="I273" t="n">
        <v>0.068</v>
      </c>
      <c r="J273" t="n">
        <v>-5.565</v>
      </c>
      <c r="K273" t="inlineStr">
        <is>
          <t>Dollar demand lifts USD/JPY above 158 as BoJ caution offsets Japan intervention risk - VT Markets</t>
        </is>
      </c>
      <c r="L273" t="inlineStr">
        <is>
          <t>https://news.google.com/rss/articles/CBMiygFBVV95cUxPT0xXRnBEWndGM1VlNW5wbVFpVXVOc2tHSm9VY2wtUjFsY0k1eE9yT1NPaHdIY3NBSDZJYXRwRDRocnlmdkJUb2pNMzY0WVVfcWVsU2hRVC1UZ0toY2c2bUdYR3pqclJJbFNsSVRCNzhlNWtwOTBZLTZYNHVORHQwcGpjRzlHYW5TWFF2dWt2QUZsOVFTNlZsWGxpTGxzQWFsaFlQZ2owSVRaNGtQV3RGMGNvcy1XTm9LR2dVdEN3ZUh1VlVTRzJvRzVB?oc=5</t>
        </is>
      </c>
      <c r="M273" t="inlineStr">
        <is>
          <t>Bitcoin posts surprise rally as currency nears $70,000 for the first time since June - Fortune</t>
        </is>
      </c>
      <c r="N27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273" t="inlineStr">
        <is>
          <t>How the RBI manages cash in the banking system - Substack</t>
        </is>
      </c>
      <c r="P27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3" t="inlineStr">
        <is>
          <t>finbert</t>
        </is>
      </c>
      <c r="R273" t="inlineStr">
        <is>
          <t>Shelved mega deals may help 'stabilize' the market - Bond Buyer</t>
        </is>
      </c>
      <c r="S27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3" t="inlineStr">
        <is>
          <t>Fed Interest Rate Forecast for the Next 5 Years: 2026 to 2031 - Norada Real Estate Investments</t>
        </is>
      </c>
      <c r="U27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3" t="inlineStr">
        <is>
          <t>Federal Funds Rate History 1990 to 2026 - Forbes</t>
        </is>
      </c>
      <c r="W27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4">
      <c r="A274" t="inlineStr">
        <is>
          <t>2026-10-07T21:14:03+00:00</t>
        </is>
      </c>
      <c r="B274" t="inlineStr">
        <is>
          <t>2026-10-07</t>
        </is>
      </c>
      <c r="C274" t="inlineStr">
        <is>
          <t>Trade Wars &amp; Escalations</t>
        </is>
      </c>
      <c r="D274" t="n">
        <v>40</v>
      </c>
      <c r="E274" t="n">
        <v>0.616</v>
      </c>
      <c r="F274" t="n">
        <v>-0.307</v>
      </c>
      <c r="G274" t="n">
        <v>30</v>
      </c>
      <c r="H274" t="n">
        <v>0.862</v>
      </c>
      <c r="I274" t="n">
        <v>0.204</v>
      </c>
      <c r="J274" t="n">
        <v>8.069000000000001</v>
      </c>
      <c r="K274" t="inlineStr">
        <is>
          <t>The US Is Badly Losing Its Trade War with China - Cato Institute</t>
        </is>
      </c>
      <c r="L274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4" t="inlineStr">
        <is>
          <t>Trump uses Depression-era law to ban Canadian alcohol in trade war escalation - WRTV</t>
        </is>
      </c>
      <c r="N27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4" t="inlineStr">
        <is>
          <t>Iran and US trade threats after Houthi attacks escalate regional conflict - Reuters</t>
        </is>
      </c>
      <c r="P27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4" t="inlineStr">
        <is>
          <t>vader</t>
        </is>
      </c>
      <c r="R274" t="inlineStr">
        <is>
          <t>BD Wins Tariff Relief Through Manufacturing Pact - Medical Device and Diagnostic industry</t>
        </is>
      </c>
      <c r="S27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4" t="inlineStr">
        <is>
          <t>Toys Included in New U.S.-China Tariff Relief Agreement - The Toy Book</t>
        </is>
      </c>
      <c r="U27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4" t="inlineStr">
        <is>
          <t>U.S. and China Strike Agreement for $60 Billion in Tariff Relief - Modaes</t>
        </is>
      </c>
      <c r="W27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5">
      <c r="A275" t="inlineStr">
        <is>
          <t>2026-10-08T05:53:04+00:00</t>
        </is>
      </c>
      <c r="B275" t="inlineStr">
        <is>
          <t>2026-10-08</t>
        </is>
      </c>
      <c r="C275" t="inlineStr">
        <is>
          <t>Middle East Oil Risk</t>
        </is>
      </c>
      <c r="D275" t="n">
        <v>45</v>
      </c>
      <c r="E275" t="n">
        <v>0.587</v>
      </c>
      <c r="F275" t="n">
        <v>-0.409</v>
      </c>
      <c r="G275" t="n">
        <v>31</v>
      </c>
      <c r="H275" t="n">
        <v>0.76</v>
      </c>
      <c r="I275" t="n">
        <v>0.034</v>
      </c>
      <c r="J275" t="n">
        <v>15.666</v>
      </c>
      <c r="K275" t="inlineStr">
        <is>
          <t>Israel-Hezbollah clashes kill 11 as Mideast conflict escalation gathers pace after U.S.-Iran strikes - CNBC</t>
        </is>
      </c>
      <c r="L27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5" t="inlineStr">
        <is>
          <t>Possible Fire Reported at Saudi Refinery as Attack Claims Circulate - Crude Oil Prices Today | OilPrice.com</t>
        </is>
      </c>
      <c r="N275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O275" t="inlineStr">
        <is>
          <t>Iran war updates: Yemeni forces launch offensive to seize Houthi-held areas - Al Jazeera</t>
        </is>
      </c>
      <c r="P275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Q275" t="inlineStr">
        <is>
          <t>vader</t>
        </is>
      </c>
      <c r="R275" t="inlineStr">
        <is>
          <t>Iran and US trade blame for attacks, threatening fragile ceasefire - Al Jazeera</t>
        </is>
      </c>
      <c r="S27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5" t="inlineStr">
        <is>
          <t>Acting Special Coordinator for the Middle East Peace Process's remarks at the Security Council on the Report of the Secretary-General on the Implementation of UNSCR 2334 [as delivered] - DPPA</t>
        </is>
      </c>
      <c r="U27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5" t="inlineStr">
        <is>
          <t>Europe’s Chance to Revive Middle East Peace - Foreign Policy</t>
        </is>
      </c>
      <c r="W27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6">
      <c r="A276" t="inlineStr">
        <is>
          <t>2026-10-08T05:53:04+00:00</t>
        </is>
      </c>
      <c r="B276" t="inlineStr">
        <is>
          <t>2026-10-08</t>
        </is>
      </c>
      <c r="C276" t="inlineStr">
        <is>
          <t>Macroeconomic Interventions</t>
        </is>
      </c>
      <c r="D276" t="n">
        <v>40</v>
      </c>
      <c r="E276" t="n">
        <v>0.254</v>
      </c>
      <c r="F276" t="n">
        <v>0.08500000000000001</v>
      </c>
      <c r="G276" t="n">
        <v>32</v>
      </c>
      <c r="H276" t="n">
        <v>0.269</v>
      </c>
      <c r="I276" t="n">
        <v>0.075</v>
      </c>
      <c r="J276" t="n">
        <v>-5.375</v>
      </c>
      <c r="K276" t="inlineStr">
        <is>
          <t>Bitcoin posts surprise rally as currency nears $70,000 for the first time since June - Fortune</t>
        </is>
      </c>
      <c r="L27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6" t="inlineStr">
        <is>
          <t>Japanese Yen strengthens amid BoJ hike bets, intervention risks; bullish USD cap gains - FXStreet</t>
        </is>
      </c>
      <c r="N276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6" t="inlineStr">
        <is>
          <t>What the US-Japan Currency Intervention Means for the Yen, Rates, and the Dollar - Goldman Sachs</t>
        </is>
      </c>
      <c r="P27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76" t="inlineStr">
        <is>
          <t>finbert</t>
        </is>
      </c>
      <c r="R276" t="inlineStr">
        <is>
          <t>Shelved mega deals may help 'stabilize' the market - Bond Buyer</t>
        </is>
      </c>
      <c r="S27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6" t="inlineStr">
        <is>
          <t>Fed Interest Rate Forecast for the Next 5 Years: 2026 to 2031 - Norada Real Estate Investments</t>
        </is>
      </c>
      <c r="U27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6" t="inlineStr">
        <is>
          <t>Federal Funds Rate History 1990 to 2026 - Forbes</t>
        </is>
      </c>
      <c r="W27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7">
      <c r="A277" t="inlineStr">
        <is>
          <t>2026-10-08T05:53:04+00:00</t>
        </is>
      </c>
      <c r="B277" t="inlineStr">
        <is>
          <t>2026-10-08</t>
        </is>
      </c>
      <c r="C277" t="inlineStr">
        <is>
          <t>Trade Wars &amp; Escalations</t>
        </is>
      </c>
      <c r="D277" t="n">
        <v>40</v>
      </c>
      <c r="E277" t="n">
        <v>0.676</v>
      </c>
      <c r="F277" t="n">
        <v>-0.297</v>
      </c>
      <c r="G277" t="n">
        <v>29</v>
      </c>
      <c r="H277" t="n">
        <v>0.858</v>
      </c>
      <c r="I277" t="n">
        <v>0.204</v>
      </c>
      <c r="J277" t="n">
        <v>8.481999999999999</v>
      </c>
      <c r="K277" t="inlineStr">
        <is>
          <t>The US Is Badly Losing Its Trade War with China - Cato Institute</t>
        </is>
      </c>
      <c r="L277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7" t="inlineStr">
        <is>
          <t>Trump uses Depression-era law to ban Canadian alcohol in trade war escalation - WRTV</t>
        </is>
      </c>
      <c r="N27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7" t="inlineStr">
        <is>
          <t>Iran and US trade threats after Houthi attacks escalate regional conflict - Reuters</t>
        </is>
      </c>
      <c r="P27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7" t="inlineStr">
        <is>
          <t>vader</t>
        </is>
      </c>
      <c r="R277" t="inlineStr">
        <is>
          <t>BD Wins Tariff Relief Through Manufacturing Pact - Medical Device and Diagnostic industry</t>
        </is>
      </c>
      <c r="S27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7" t="inlineStr">
        <is>
          <t>Toys Included in New U.S.-China Tariff Relief Agreement - The Toy Book</t>
        </is>
      </c>
      <c r="U27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7" t="inlineStr">
        <is>
          <t>US and China agree on tariff relief for $30bn of nonsensitive goods each - Nikkei Asia</t>
        </is>
      </c>
      <c r="W27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78">
      <c r="A278" t="inlineStr">
        <is>
          <t>2026-10-08T15:32:50+00:00</t>
        </is>
      </c>
      <c r="B278" t="inlineStr">
        <is>
          <t>2026-10-08</t>
        </is>
      </c>
      <c r="C278" t="inlineStr">
        <is>
          <t>Middle East Oil Risk</t>
        </is>
      </c>
      <c r="D278" t="n">
        <v>44</v>
      </c>
      <c r="E278" t="n">
        <v>0.553</v>
      </c>
      <c r="F278" t="n">
        <v>-0.452</v>
      </c>
      <c r="G278" t="n">
        <v>30</v>
      </c>
      <c r="H278" t="n">
        <v>0.804</v>
      </c>
      <c r="I278" t="n">
        <v>-0.004</v>
      </c>
      <c r="J278" t="n">
        <v>16.989</v>
      </c>
      <c r="K278" t="inlineStr">
        <is>
          <t>How the Iran war unfolded: every attack and oil price change – visualised | US-Israel war on Iran - The Guardian</t>
        </is>
      </c>
      <c r="L27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78" t="inlineStr">
        <is>
          <t>Israel-Hezbollah clashes kill 11 as Mideast conflict escalation gathers pace after U.S.-Iran strikes - CNBC</t>
        </is>
      </c>
      <c r="N27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78" t="inlineStr">
        <is>
          <t>Possible Fire Reported at Saudi Refinery as Attack Claims Circulate - Crude Oil Prices Today | OilPrice.com</t>
        </is>
      </c>
      <c r="P278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78" t="inlineStr">
        <is>
          <t>vader</t>
        </is>
      </c>
      <c r="R278" t="inlineStr">
        <is>
          <t>'Every day there is killing': Gazans face Israeli strikes despite ceasefire as peace deal stalls - BBC</t>
        </is>
      </c>
      <c r="S278" t="inlineStr">
        <is>
          <t>https://news.google.com/rss/articles/CBMiXkFVX3lxTFBXTVR3bXFNcVpvdGxnRDI2alQtSVZMZEE1cWltWHhocWhTNmFTYWdfUmZGQ0M4NEdhYmlrMXh2aVN2QlZ5dU54c2ZuRVljUFFibWExN1BLYmwyVzJLUHc?oc=5</t>
        </is>
      </c>
      <c r="T278" t="inlineStr">
        <is>
          <t>Acting Special Coordinator for the Middle East Peace Process's remarks at the Security Council on the Report of the Secretary-General on the Implementation of UNSCR 2334 [as delivered] - DPPA</t>
        </is>
      </c>
      <c r="U27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8" t="inlineStr">
        <is>
          <t>Europe’s Chance to Revive Middle East Peace - Foreign Policy</t>
        </is>
      </c>
      <c r="W27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9">
      <c r="A279" t="inlineStr">
        <is>
          <t>2026-10-08T15:32:50+00:00</t>
        </is>
      </c>
      <c r="B279" t="inlineStr">
        <is>
          <t>2026-10-08</t>
        </is>
      </c>
      <c r="C279" t="inlineStr">
        <is>
          <t>Macroeconomic Interventions</t>
        </is>
      </c>
      <c r="D279" t="n">
        <v>40</v>
      </c>
      <c r="E279" t="n">
        <v>0.102</v>
      </c>
      <c r="F279" t="n">
        <v>0.073</v>
      </c>
      <c r="G279" t="n">
        <v>32</v>
      </c>
      <c r="H279" t="n">
        <v>0.332</v>
      </c>
      <c r="I279" t="n">
        <v>0.075</v>
      </c>
      <c r="J279" t="n">
        <v>-3.342</v>
      </c>
      <c r="K279" t="inlineStr">
        <is>
          <t>Bitcoin posts surprise rally as currency nears $70,000 for the first time since June - Fortune</t>
        </is>
      </c>
      <c r="L27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9" t="inlineStr">
        <is>
          <t>Japanese Yen strengthens amid BoJ hike bets, intervention risks; bullish USD cap gains - FXStreet</t>
        </is>
      </c>
      <c r="N279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9" t="inlineStr">
        <is>
          <t>The Opportunities Unlocked By High Treasury Yields (NYSEARCA:IWM) - Seeking Alpha</t>
        </is>
      </c>
      <c r="P279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79" t="inlineStr">
        <is>
          <t>finbert</t>
        </is>
      </c>
      <c r="R279" t="inlineStr">
        <is>
          <t>Fed Interest Rate Forecast for the Next 5 Years: 2026 to 2031 - Norada Real Estate Investments</t>
        </is>
      </c>
      <c r="S27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79" t="inlineStr">
        <is>
          <t>Federal Funds Rate History 1990 to 2026 - Forbes</t>
        </is>
      </c>
      <c r="U27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9" t="inlineStr">
        <is>
          <t>Federal Reserve officials expect another rate hike will be needed this year, according to minutes - ABC News - Breaking News, Latest News and Videos</t>
        </is>
      </c>
      <c r="W279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0">
      <c r="A280" t="inlineStr">
        <is>
          <t>2026-10-08T15:32:50+00:00</t>
        </is>
      </c>
      <c r="B280" t="inlineStr">
        <is>
          <t>2026-10-08</t>
        </is>
      </c>
      <c r="C280" t="inlineStr">
        <is>
          <t>Trade Wars &amp; Escalations</t>
        </is>
      </c>
      <c r="D280" t="n">
        <v>40</v>
      </c>
      <c r="E280" t="n">
        <v>0.5629999999999999</v>
      </c>
      <c r="F280" t="n">
        <v>-0.299</v>
      </c>
      <c r="G280" t="n">
        <v>29</v>
      </c>
      <c r="H280" t="n">
        <v>0.889</v>
      </c>
      <c r="I280" t="n">
        <v>0.2</v>
      </c>
      <c r="J280" t="n">
        <v>8.585000000000001</v>
      </c>
      <c r="K280" t="inlineStr">
        <is>
          <t>The US Is Badly Losing Its Trade War with China - Cato Institute</t>
        </is>
      </c>
      <c r="L280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0" t="inlineStr">
        <is>
          <t>US ban on Canadian alcohol and dairy takes effect as trade war drags on - BBC</t>
        </is>
      </c>
      <c r="N280" t="inlineStr">
        <is>
          <t>https://news.google.com/rss/articles/CBMiW0FVX3lxTE5JMVJIVF9zTWREN1pOVjNTSFFFWHBuai1nbkMtcHNuY3JOTWhUODg5UTBDUWE0VFU3MFFNNjBxb2FNVzh6UElMd001ZEx2Tm05dEdiUHBpS19LMDA?oc=5</t>
        </is>
      </c>
      <c r="O280" t="inlineStr">
        <is>
          <t>Trump uses Depression-era law to ban Canadian alcohol in trade war escalation - WRTV</t>
        </is>
      </c>
      <c r="P28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0" t="inlineStr">
        <is>
          <t>vader</t>
        </is>
      </c>
      <c r="R280" t="inlineStr">
        <is>
          <t>BD Wins Tariff Relief Through Manufacturing Pact - Medical Device and Diagnostic industry</t>
        </is>
      </c>
      <c r="S28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0" t="inlineStr">
        <is>
          <t>Toys Included in New U.S.-China Tariff Relief Agreement - The Toy Book</t>
        </is>
      </c>
      <c r="U28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0" t="inlineStr">
        <is>
          <t>U.S. and China Strike Agreement for $60 Billion in Tariff Relief - Modaes</t>
        </is>
      </c>
      <c r="W28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2026-09-30</t>
        </is>
      </c>
      <c r="B19" t="inlineStr">
        <is>
          <t>Macroeconomic Interventions</t>
        </is>
      </c>
      <c r="C19" t="n">
        <v>120</v>
      </c>
      <c r="D19" t="n">
        <v>95</v>
      </c>
      <c r="E19" t="n">
        <v>-9.553000000000001</v>
      </c>
      <c r="F19">
        <f>IF(B18=B19, IFERROR((E19-E18)/ABS(E18), "n/a"), "")</f>
        <v/>
      </c>
    </row>
    <row r="20">
      <c r="A20" t="inlineStr">
        <is>
          <t>2026-10-01</t>
        </is>
      </c>
      <c r="B20" t="inlineStr">
        <is>
          <t>Macroeconomic Interventions</t>
        </is>
      </c>
      <c r="C20" t="n">
        <v>120</v>
      </c>
      <c r="D20" t="n">
        <v>96</v>
      </c>
      <c r="E20" t="n">
        <v>-7.043</v>
      </c>
      <c r="F20">
        <f>IF(B19=B20, IFERROR((E20-E19)/ABS(E19), "n/a"), "")</f>
        <v/>
      </c>
    </row>
    <row r="21">
      <c r="A21" t="inlineStr">
        <is>
          <t>2026-10-02</t>
        </is>
      </c>
      <c r="B21" t="inlineStr">
        <is>
          <t>Macroeconomic Interventions</t>
        </is>
      </c>
      <c r="C21" t="n">
        <v>120</v>
      </c>
      <c r="D21" t="n">
        <v>96</v>
      </c>
      <c r="E21" t="n">
        <v>-7.058</v>
      </c>
      <c r="F21">
        <f>IF(B20=B21, IFERROR((E21-E20)/ABS(E20), "n/a"), "")</f>
        <v/>
      </c>
    </row>
    <row r="22">
      <c r="A22" t="inlineStr">
        <is>
          <t>2026-10-03</t>
        </is>
      </c>
      <c r="B22" t="inlineStr">
        <is>
          <t>Macroeconomic Interventions</t>
        </is>
      </c>
      <c r="C22" t="n">
        <v>160</v>
      </c>
      <c r="D22" t="n">
        <v>128</v>
      </c>
      <c r="E22" t="n">
        <v>-6.845</v>
      </c>
      <c r="F22">
        <f>IF(B21=B22, IFERROR((E22-E21)/ABS(E21), "n/a"), "")</f>
        <v/>
      </c>
    </row>
    <row r="23">
      <c r="A23" t="inlineStr">
        <is>
          <t>2026-10-04</t>
        </is>
      </c>
      <c r="B23" t="inlineStr">
        <is>
          <t>Macroeconomic Interventions</t>
        </is>
      </c>
      <c r="C23" t="n">
        <v>160</v>
      </c>
      <c r="D23" t="n">
        <v>128</v>
      </c>
      <c r="E23" t="n">
        <v>-10.375</v>
      </c>
      <c r="F23">
        <f>IF(B22=B23, IFERROR((E23-E22)/ABS(E22), "n/a"), "")</f>
        <v/>
      </c>
    </row>
    <row r="24">
      <c r="A24" t="inlineStr">
        <is>
          <t>2026-10-05</t>
        </is>
      </c>
      <c r="B24" t="inlineStr">
        <is>
          <t>Macroeconomic Interventions</t>
        </is>
      </c>
      <c r="C24" t="n">
        <v>80</v>
      </c>
      <c r="D24" t="n">
        <v>64</v>
      </c>
      <c r="E24" t="n">
        <v>-8.74</v>
      </c>
      <c r="F24">
        <f>IF(B23=B24, IFERROR((E24-E23)/ABS(E23), "n/a"), "")</f>
        <v/>
      </c>
    </row>
    <row r="25">
      <c r="A25" t="inlineStr">
        <is>
          <t>2026-10-06</t>
        </is>
      </c>
      <c r="B25" t="inlineStr">
        <is>
          <t>Macroeconomic Interventions</t>
        </is>
      </c>
      <c r="C25" t="n">
        <v>160</v>
      </c>
      <c r="D25" t="n">
        <v>128</v>
      </c>
      <c r="E25" t="n">
        <v>-9.302</v>
      </c>
      <c r="F25">
        <f>IF(B24=B25, IFERROR((E25-E24)/ABS(E24), "n/a"), "")</f>
        <v/>
      </c>
    </row>
    <row r="26">
      <c r="A26" t="inlineStr">
        <is>
          <t>2026-10-07</t>
        </is>
      </c>
      <c r="B26" t="inlineStr">
        <is>
          <t>Macroeconomic Interventions</t>
        </is>
      </c>
      <c r="C26" t="n">
        <v>120</v>
      </c>
      <c r="D26" t="n">
        <v>96</v>
      </c>
      <c r="E26" t="n">
        <v>-7.248</v>
      </c>
      <c r="F26">
        <f>IF(B25=B26, IFERROR((E26-E25)/ABS(E25), "n/a"), "")</f>
        <v/>
      </c>
    </row>
    <row r="27">
      <c r="A27" t="inlineStr">
        <is>
          <t>2026-09-13</t>
        </is>
      </c>
      <c r="B27" t="inlineStr">
        <is>
          <t>Middle East Oil Risk</t>
        </is>
      </c>
      <c r="C27" t="n">
        <v>234</v>
      </c>
      <c r="D27" t="n">
        <v>155</v>
      </c>
      <c r="E27" t="n">
        <v>7.073</v>
      </c>
      <c r="F27">
        <f>IF(B26=B27, IFERROR((E27-E26)/ABS(E26), "n/a"), "")</f>
        <v/>
      </c>
    </row>
    <row r="28">
      <c r="A28" t="inlineStr">
        <is>
          <t>2026-09-14</t>
        </is>
      </c>
      <c r="B28" t="inlineStr">
        <is>
          <t>Middle East Oil Risk</t>
        </is>
      </c>
      <c r="C28" t="n">
        <v>137</v>
      </c>
      <c r="D28" t="n">
        <v>96</v>
      </c>
      <c r="E28" t="n">
        <v>21.06</v>
      </c>
      <c r="F28">
        <f>IF(B27=B28, IFERROR((E28-E27)/ABS(E27), "n/a"), "")</f>
        <v/>
      </c>
    </row>
    <row r="29">
      <c r="A29" t="inlineStr">
        <is>
          <t>2026-09-15</t>
        </is>
      </c>
      <c r="B29" t="inlineStr">
        <is>
          <t>Middle East Oil Risk</t>
        </is>
      </c>
      <c r="C29" t="n">
        <v>186</v>
      </c>
      <c r="D29" t="n">
        <v>120</v>
      </c>
      <c r="E29" t="n">
        <v>22.642</v>
      </c>
      <c r="F29">
        <f>IF(B28=B29, IFERROR((E29-E28)/ABS(E28), "n/a"), "")</f>
        <v/>
      </c>
    </row>
    <row r="30">
      <c r="A30" t="inlineStr">
        <is>
          <t>2026-09-16</t>
        </is>
      </c>
      <c r="B30" t="inlineStr">
        <is>
          <t>Middle East Oil Risk</t>
        </is>
      </c>
      <c r="C30" t="n">
        <v>190</v>
      </c>
      <c r="D30" t="n">
        <v>128</v>
      </c>
      <c r="E30" t="n">
        <v>20.494</v>
      </c>
      <c r="F30">
        <f>IF(B29=B30, IFERROR((E30-E29)/ABS(E29), "n/a"), "")</f>
        <v/>
      </c>
    </row>
    <row r="31">
      <c r="A31" t="inlineStr">
        <is>
          <t>2026-09-17</t>
        </is>
      </c>
      <c r="B31" t="inlineStr">
        <is>
          <t>Middle East Oil Risk</t>
        </is>
      </c>
      <c r="C31" t="n">
        <v>192</v>
      </c>
      <c r="D31" t="n">
        <v>128</v>
      </c>
      <c r="E31" t="n">
        <v>20.948</v>
      </c>
      <c r="F31">
        <f>IF(B30=B31, IFERROR((E31-E30)/ABS(E30), "n/a"), "")</f>
        <v/>
      </c>
    </row>
    <row r="32">
      <c r="A32" t="inlineStr">
        <is>
          <t>2026-09-18</t>
        </is>
      </c>
      <c r="B32" t="inlineStr">
        <is>
          <t>Middle East Oil Risk</t>
        </is>
      </c>
      <c r="C32" t="n">
        <v>189</v>
      </c>
      <c r="D32" t="n">
        <v>125</v>
      </c>
      <c r="E32" t="n">
        <v>20.675</v>
      </c>
      <c r="F32">
        <f>IF(B31=B32, IFERROR((E32-E31)/ABS(E31), "n/a"), "")</f>
        <v/>
      </c>
    </row>
    <row r="33">
      <c r="A33" t="inlineStr">
        <is>
          <t>2026-09-19</t>
        </is>
      </c>
      <c r="B33" t="inlineStr">
        <is>
          <t>Middle East Oil Risk</t>
        </is>
      </c>
      <c r="C33" t="n">
        <v>187</v>
      </c>
      <c r="D33" t="n">
        <v>128</v>
      </c>
      <c r="E33" t="n">
        <v>19.45</v>
      </c>
      <c r="F33">
        <f>IF(B32=B33, IFERROR((E33-E32)/ABS(E32), "n/a"), "")</f>
        <v/>
      </c>
    </row>
    <row r="34">
      <c r="A34" t="inlineStr">
        <is>
          <t>2026-09-20</t>
        </is>
      </c>
      <c r="B34" t="inlineStr">
        <is>
          <t>Middle East Oil Risk</t>
        </is>
      </c>
      <c r="C34" t="n">
        <v>190</v>
      </c>
      <c r="D34" t="n">
        <v>127</v>
      </c>
      <c r="E34" t="n">
        <v>18.638</v>
      </c>
      <c r="F34">
        <f>IF(B33=B34, IFERROR((E34-E33)/ABS(E33), "n/a"), "")</f>
        <v/>
      </c>
    </row>
    <row r="35">
      <c r="A35" t="inlineStr">
        <is>
          <t>2026-09-21</t>
        </is>
      </c>
      <c r="B35" t="inlineStr">
        <is>
          <t>Middle East Oil Risk</t>
        </is>
      </c>
      <c r="C35" t="n">
        <v>142</v>
      </c>
      <c r="D35" t="n">
        <v>95</v>
      </c>
      <c r="E35" t="n">
        <v>19.744</v>
      </c>
      <c r="F35">
        <f>IF(B34=B35, IFERROR((E35-E34)/ABS(E34), "n/a"), "")</f>
        <v/>
      </c>
    </row>
    <row r="36">
      <c r="A36" t="inlineStr">
        <is>
          <t>2026-09-22</t>
        </is>
      </c>
      <c r="B36" t="inlineStr">
        <is>
          <t>Middle East Oil Risk</t>
        </is>
      </c>
      <c r="C36" t="n">
        <v>186</v>
      </c>
      <c r="D36" t="n">
        <v>128</v>
      </c>
      <c r="E36" t="n">
        <v>18.521</v>
      </c>
      <c r="F36">
        <f>IF(B35=B36, IFERROR((E36-E35)/ABS(E35), "n/a"), "")</f>
        <v/>
      </c>
    </row>
    <row r="37">
      <c r="A37" t="inlineStr">
        <is>
          <t>2026-09-23</t>
        </is>
      </c>
      <c r="B37" t="inlineStr">
        <is>
          <t>Middle East Oil Risk</t>
        </is>
      </c>
      <c r="C37" t="n">
        <v>189</v>
      </c>
      <c r="D37" t="n">
        <v>128</v>
      </c>
      <c r="E37" t="n">
        <v>19.348</v>
      </c>
      <c r="F37">
        <f>IF(B36=B37, IFERROR((E37-E36)/ABS(E36), "n/a"), "")</f>
        <v/>
      </c>
    </row>
    <row r="38">
      <c r="A38" t="inlineStr">
        <is>
          <t>2026-09-24</t>
        </is>
      </c>
      <c r="B38" t="inlineStr">
        <is>
          <t>Middle East Oil Risk</t>
        </is>
      </c>
      <c r="C38" t="n">
        <v>191</v>
      </c>
      <c r="D38" t="n">
        <v>128</v>
      </c>
      <c r="E38" t="n">
        <v>18.798</v>
      </c>
      <c r="F38">
        <f>IF(B37=B38, IFERROR((E38-E37)/ABS(E37), "n/a"), "")</f>
        <v/>
      </c>
    </row>
    <row r="39">
      <c r="A39" t="inlineStr">
        <is>
          <t>2026-09-25</t>
        </is>
      </c>
      <c r="B39" t="inlineStr">
        <is>
          <t>Middle East Oil Risk</t>
        </is>
      </c>
      <c r="C39" t="n">
        <v>191</v>
      </c>
      <c r="D39" t="n">
        <v>127</v>
      </c>
      <c r="E39" t="n">
        <v>18.42</v>
      </c>
      <c r="F39">
        <f>IF(B38=B39, IFERROR((E39-E38)/ABS(E38), "n/a"), "")</f>
        <v/>
      </c>
    </row>
    <row r="40">
      <c r="A40" t="inlineStr">
        <is>
          <t>2026-09-26</t>
        </is>
      </c>
      <c r="B40" t="inlineStr">
        <is>
          <t>Middle East Oil Risk</t>
        </is>
      </c>
      <c r="C40" t="n">
        <v>192</v>
      </c>
      <c r="D40" t="n">
        <v>125</v>
      </c>
      <c r="E40" t="n">
        <v>18.747</v>
      </c>
      <c r="F40">
        <f>IF(B39=B40, IFERROR((E40-E39)/ABS(E39), "n/a"), "")</f>
        <v/>
      </c>
    </row>
    <row r="41">
      <c r="A41" t="inlineStr">
        <is>
          <t>2026-09-27</t>
        </is>
      </c>
      <c r="B41" t="inlineStr">
        <is>
          <t>Middle East Oil Risk</t>
        </is>
      </c>
      <c r="C41" t="n">
        <v>191</v>
      </c>
      <c r="D41" t="n">
        <v>120</v>
      </c>
      <c r="E41" t="n">
        <v>19.726</v>
      </c>
      <c r="F41">
        <f>IF(B40=B41, IFERROR((E41-E40)/ABS(E40), "n/a"), "")</f>
        <v/>
      </c>
    </row>
    <row r="42">
      <c r="A42" t="inlineStr">
        <is>
          <t>2026-09-28</t>
        </is>
      </c>
      <c r="B42" t="inlineStr">
        <is>
          <t>Middle East Oil Risk</t>
        </is>
      </c>
      <c r="C42" t="n">
        <v>48</v>
      </c>
      <c r="D42" t="n">
        <v>29</v>
      </c>
      <c r="E42" t="n">
        <v>9.458</v>
      </c>
      <c r="F42">
        <f>IF(B41=B42, IFERROR((E42-E41)/ABS(E41), "n/a"), "")</f>
        <v/>
      </c>
    </row>
    <row r="43">
      <c r="A43" t="inlineStr">
        <is>
          <t>2026-09-29</t>
        </is>
      </c>
      <c r="B43" t="inlineStr">
        <is>
          <t>Middle East Oil Risk</t>
        </is>
      </c>
      <c r="C43" t="n">
        <v>192</v>
      </c>
      <c r="D43" t="n">
        <v>118</v>
      </c>
      <c r="E43" t="n">
        <v>19.082</v>
      </c>
      <c r="F43">
        <f>IF(B42=B43, IFERROR((E43-E42)/ABS(E42), "n/a"), "")</f>
        <v/>
      </c>
    </row>
    <row r="44">
      <c r="A44" t="inlineStr">
        <is>
          <t>2026-09-30</t>
        </is>
      </c>
      <c r="B44" t="inlineStr">
        <is>
          <t>Middle East Oil Risk</t>
        </is>
      </c>
      <c r="C44" t="n">
        <v>143</v>
      </c>
      <c r="D44" t="n">
        <v>85</v>
      </c>
      <c r="E44" t="n">
        <v>21.135</v>
      </c>
      <c r="F44">
        <f>IF(B43=B44, IFERROR((E44-E43)/ABS(E43), "n/a"), "")</f>
        <v/>
      </c>
    </row>
    <row r="45">
      <c r="A45" t="inlineStr">
        <is>
          <t>2026-10-01</t>
        </is>
      </c>
      <c r="B45" t="inlineStr">
        <is>
          <t>Middle East Oil Risk</t>
        </is>
      </c>
      <c r="C45" t="n">
        <v>144</v>
      </c>
      <c r="D45" t="n">
        <v>85</v>
      </c>
      <c r="E45" t="n">
        <v>20.801</v>
      </c>
      <c r="F45">
        <f>IF(B44=B45, IFERROR((E45-E44)/ABS(E44), "n/a"), "")</f>
        <v/>
      </c>
    </row>
    <row r="46">
      <c r="A46" t="inlineStr">
        <is>
          <t>2026-10-02</t>
        </is>
      </c>
      <c r="B46" t="inlineStr">
        <is>
          <t>Middle East Oil Risk</t>
        </is>
      </c>
      <c r="C46" t="n">
        <v>142</v>
      </c>
      <c r="D46" t="n">
        <v>88</v>
      </c>
      <c r="E46" t="n">
        <v>18.71</v>
      </c>
      <c r="F46">
        <f>IF(B45=B46, IFERROR((E46-E45)/ABS(E45), "n/a"), "")</f>
        <v/>
      </c>
    </row>
    <row r="47">
      <c r="A47" t="inlineStr">
        <is>
          <t>2026-10-03</t>
        </is>
      </c>
      <c r="B47" t="inlineStr">
        <is>
          <t>Middle East Oil Risk</t>
        </is>
      </c>
      <c r="C47" t="n">
        <v>191</v>
      </c>
      <c r="D47" t="n">
        <v>124</v>
      </c>
      <c r="E47" t="n">
        <v>18.554</v>
      </c>
      <c r="F47">
        <f>IF(B46=B47, IFERROR((E47-E46)/ABS(E46), "n/a"), "")</f>
        <v/>
      </c>
    </row>
    <row r="48">
      <c r="A48" t="inlineStr">
        <is>
          <t>2026-10-04</t>
        </is>
      </c>
      <c r="B48" t="inlineStr">
        <is>
          <t>Middle East Oil Risk</t>
        </is>
      </c>
      <c r="C48" t="n">
        <v>188</v>
      </c>
      <c r="D48" t="n">
        <v>128</v>
      </c>
      <c r="E48" t="n">
        <v>18.978</v>
      </c>
      <c r="F48">
        <f>IF(B47=B48, IFERROR((E48-E47)/ABS(E47), "n/a"), "")</f>
        <v/>
      </c>
    </row>
    <row r="49">
      <c r="A49" t="inlineStr">
        <is>
          <t>2026-10-05</t>
        </is>
      </c>
      <c r="B49" t="inlineStr">
        <is>
          <t>Middle East Oil Risk</t>
        </is>
      </c>
      <c r="C49" t="n">
        <v>92</v>
      </c>
      <c r="D49" t="n">
        <v>64</v>
      </c>
      <c r="E49" t="n">
        <v>20.275</v>
      </c>
      <c r="F49">
        <f>IF(B48=B49, IFERROR((E49-E48)/ABS(E48), "n/a"), "")</f>
        <v/>
      </c>
    </row>
    <row r="50">
      <c r="A50" t="inlineStr">
        <is>
          <t>2026-10-06</t>
        </is>
      </c>
      <c r="B50" t="inlineStr">
        <is>
          <t>Middle East Oil Risk</t>
        </is>
      </c>
      <c r="C50" t="n">
        <v>183</v>
      </c>
      <c r="D50" t="n">
        <v>128</v>
      </c>
      <c r="E50" t="n">
        <v>17.658</v>
      </c>
      <c r="F50">
        <f>IF(B49=B50, IFERROR((E50-E49)/ABS(E49), "n/a"), "")</f>
        <v/>
      </c>
    </row>
    <row r="51">
      <c r="A51" t="inlineStr">
        <is>
          <t>2026-10-07</t>
        </is>
      </c>
      <c r="B51" t="inlineStr">
        <is>
          <t>Middle East Oil Risk</t>
        </is>
      </c>
      <c r="C51" t="n">
        <v>139</v>
      </c>
      <c r="D51" t="n">
        <v>96</v>
      </c>
      <c r="E51" t="n">
        <v>17.221</v>
      </c>
      <c r="F51">
        <f>IF(B50=B51, IFERROR((E51-E50)/ABS(E50), "n/a"), "")</f>
        <v/>
      </c>
    </row>
    <row r="52">
      <c r="A52" t="inlineStr">
        <is>
          <t>2026-09-13</t>
        </is>
      </c>
      <c r="B52" t="inlineStr">
        <is>
          <t>Trade Wars &amp; Escalations</t>
        </is>
      </c>
      <c r="C52" t="n">
        <v>200</v>
      </c>
      <c r="D52" t="n">
        <v>160</v>
      </c>
      <c r="E52" t="n">
        <v>-2.614</v>
      </c>
      <c r="F52">
        <f>IF(B51=B52, IFERROR((E52-E51)/ABS(E51), "n/a"), "")</f>
        <v/>
      </c>
    </row>
    <row r="53">
      <c r="A53" t="inlineStr">
        <is>
          <t>2026-09-14</t>
        </is>
      </c>
      <c r="B53" t="inlineStr">
        <is>
          <t>Trade Wars &amp; Escalations</t>
        </is>
      </c>
      <c r="C53" t="n">
        <v>119</v>
      </c>
      <c r="D53" t="n">
        <v>96</v>
      </c>
      <c r="E53" t="n">
        <v>7.534</v>
      </c>
      <c r="F53">
        <f>IF(B52=B53, IFERROR((E53-E52)/ABS(E52), "n/a"), "")</f>
        <v/>
      </c>
    </row>
    <row r="54">
      <c r="A54" t="inlineStr">
        <is>
          <t>2026-09-15</t>
        </is>
      </c>
      <c r="B54" t="inlineStr">
        <is>
          <t>Trade Wars &amp; Escalations</t>
        </is>
      </c>
      <c r="C54" t="n">
        <v>155</v>
      </c>
      <c r="D54" t="n">
        <v>128</v>
      </c>
      <c r="E54" t="n">
        <v>7.745</v>
      </c>
      <c r="F54">
        <f>IF(B53=B54, IFERROR((E54-E53)/ABS(E53), "n/a"), "")</f>
        <v/>
      </c>
    </row>
    <row r="55">
      <c r="A55" t="inlineStr">
        <is>
          <t>2026-09-16</t>
        </is>
      </c>
      <c r="B55" t="inlineStr">
        <is>
          <t>Trade Wars &amp; Escalations</t>
        </is>
      </c>
      <c r="C55" t="n">
        <v>160</v>
      </c>
      <c r="D55" t="n">
        <v>128</v>
      </c>
      <c r="E55" t="n">
        <v>7.715</v>
      </c>
      <c r="F55">
        <f>IF(B54=B55, IFERROR((E55-E54)/ABS(E54), "n/a"), "")</f>
        <v/>
      </c>
    </row>
    <row r="56">
      <c r="A56" t="inlineStr">
        <is>
          <t>2026-09-17</t>
        </is>
      </c>
      <c r="B56" t="inlineStr">
        <is>
          <t>Trade Wars &amp; Escalations</t>
        </is>
      </c>
      <c r="C56" t="n">
        <v>160</v>
      </c>
      <c r="D56" t="n">
        <v>128</v>
      </c>
      <c r="E56" t="n">
        <v>8.067</v>
      </c>
      <c r="F56">
        <f>IF(B55=B56, IFERROR((E56-E55)/ABS(E55), "n/a"), "")</f>
        <v/>
      </c>
    </row>
    <row r="57">
      <c r="A57" t="inlineStr">
        <is>
          <t>2026-09-18</t>
        </is>
      </c>
      <c r="B57" t="inlineStr">
        <is>
          <t>Trade Wars &amp; Escalations</t>
        </is>
      </c>
      <c r="C57" t="n">
        <v>160</v>
      </c>
      <c r="D57" t="n">
        <v>128</v>
      </c>
      <c r="E57" t="n">
        <v>8.281000000000001</v>
      </c>
      <c r="F57">
        <f>IF(B56=B57, IFERROR((E57-E56)/ABS(E56), "n/a"), "")</f>
        <v/>
      </c>
    </row>
    <row r="58">
      <c r="A58" t="inlineStr">
        <is>
          <t>2026-09-19</t>
        </is>
      </c>
      <c r="B58" t="inlineStr">
        <is>
          <t>Trade Wars &amp; Escalations</t>
        </is>
      </c>
      <c r="C58" t="n">
        <v>160</v>
      </c>
      <c r="D58" t="n">
        <v>126</v>
      </c>
      <c r="E58" t="n">
        <v>7.681</v>
      </c>
      <c r="F58">
        <f>IF(B57=B58, IFERROR((E58-E57)/ABS(E57), "n/a"), "")</f>
        <v/>
      </c>
    </row>
    <row r="59">
      <c r="A59" t="inlineStr">
        <is>
          <t>2026-09-20</t>
        </is>
      </c>
      <c r="B59" t="inlineStr">
        <is>
          <t>Trade Wars &amp; Escalations</t>
        </is>
      </c>
      <c r="C59" t="n">
        <v>160</v>
      </c>
      <c r="D59" t="n">
        <v>126</v>
      </c>
      <c r="E59" t="n">
        <v>7</v>
      </c>
      <c r="F59">
        <f>IF(B58=B59, IFERROR((E59-E58)/ABS(E58), "n/a"), "")</f>
        <v/>
      </c>
    </row>
    <row r="60">
      <c r="A60" t="inlineStr">
        <is>
          <t>2026-09-21</t>
        </is>
      </c>
      <c r="B60" t="inlineStr">
        <is>
          <t>Trade Wars &amp; Escalations</t>
        </is>
      </c>
      <c r="C60" t="n">
        <v>120</v>
      </c>
      <c r="D60" t="n">
        <v>94</v>
      </c>
      <c r="E60" t="n">
        <v>7.051</v>
      </c>
      <c r="F60">
        <f>IF(B59=B60, IFERROR((E60-E59)/ABS(E59), "n/a"), "")</f>
        <v/>
      </c>
    </row>
    <row r="61">
      <c r="A61" t="inlineStr">
        <is>
          <t>2026-09-22</t>
        </is>
      </c>
      <c r="B61" t="inlineStr">
        <is>
          <t>Trade Wars &amp; Escalations</t>
        </is>
      </c>
      <c r="C61" t="n">
        <v>159</v>
      </c>
      <c r="D61" t="n">
        <v>126</v>
      </c>
      <c r="E61" t="n">
        <v>8.592000000000001</v>
      </c>
      <c r="F61">
        <f>IF(B60=B61, IFERROR((E61-E60)/ABS(E60), "n/a"), "")</f>
        <v/>
      </c>
    </row>
    <row r="62">
      <c r="A62" t="inlineStr">
        <is>
          <t>2026-09-23</t>
        </is>
      </c>
      <c r="B62" t="inlineStr">
        <is>
          <t>Trade Wars &amp; Escalations</t>
        </is>
      </c>
      <c r="C62" t="n">
        <v>158</v>
      </c>
      <c r="D62" t="n">
        <v>122</v>
      </c>
      <c r="E62" t="n">
        <v>9.541</v>
      </c>
      <c r="F62">
        <f>IF(B61=B62, IFERROR((E62-E61)/ABS(E61), "n/a"), "")</f>
        <v/>
      </c>
    </row>
    <row r="63">
      <c r="A63" t="inlineStr">
        <is>
          <t>2026-09-24</t>
        </is>
      </c>
      <c r="B63" t="inlineStr">
        <is>
          <t>Trade Wars &amp; Escalations</t>
        </is>
      </c>
      <c r="C63" t="n">
        <v>153</v>
      </c>
      <c r="D63" t="n">
        <v>125</v>
      </c>
      <c r="E63" t="n">
        <v>4.922</v>
      </c>
      <c r="F63">
        <f>IF(B62=B63, IFERROR((E63-E62)/ABS(E62), "n/a"), "")</f>
        <v/>
      </c>
    </row>
    <row r="64">
      <c r="A64" t="inlineStr">
        <is>
          <t>2026-09-25</t>
        </is>
      </c>
      <c r="B64" t="inlineStr">
        <is>
          <t>Trade Wars &amp; Escalations</t>
        </is>
      </c>
      <c r="C64" t="n">
        <v>160</v>
      </c>
      <c r="D64" t="n">
        <v>117</v>
      </c>
      <c r="E64" t="n">
        <v>8.41</v>
      </c>
      <c r="F64">
        <f>IF(B63=B64, IFERROR((E64-E63)/ABS(E63), "n/a"), "")</f>
        <v/>
      </c>
    </row>
    <row r="65">
      <c r="A65" t="inlineStr">
        <is>
          <t>2026-09-26</t>
        </is>
      </c>
      <c r="B65" t="inlineStr">
        <is>
          <t>Trade Wars &amp; Escalations</t>
        </is>
      </c>
      <c r="C65" t="n">
        <v>160</v>
      </c>
      <c r="D65" t="n">
        <v>124</v>
      </c>
      <c r="E65" t="n">
        <v>6.27</v>
      </c>
      <c r="F65">
        <f>IF(B64=B65, IFERROR((E65-E64)/ABS(E64), "n/a"), "")</f>
        <v/>
      </c>
    </row>
    <row r="66">
      <c r="A66" t="inlineStr">
        <is>
          <t>2026-09-27</t>
        </is>
      </c>
      <c r="B66" t="inlineStr">
        <is>
          <t>Trade Wars &amp; Escalations</t>
        </is>
      </c>
      <c r="C66" t="n">
        <v>159</v>
      </c>
      <c r="D66" t="n">
        <v>122</v>
      </c>
      <c r="E66" t="n">
        <v>7.708</v>
      </c>
      <c r="F66">
        <f>IF(B65=B66, IFERROR((E66-E65)/ABS(E65), "n/a"), "")</f>
        <v/>
      </c>
    </row>
    <row r="67">
      <c r="A67" t="inlineStr">
        <is>
          <t>2026-09-28</t>
        </is>
      </c>
      <c r="B67" t="inlineStr">
        <is>
          <t>Trade Wars &amp; Escalations</t>
        </is>
      </c>
      <c r="C67" t="n">
        <v>40</v>
      </c>
      <c r="D67" t="n">
        <v>31</v>
      </c>
      <c r="E67" t="n">
        <v>4.228</v>
      </c>
      <c r="F67">
        <f>IF(B66=B67, IFERROR((E67-E66)/ABS(E66), "n/a"), "")</f>
        <v/>
      </c>
    </row>
    <row r="68">
      <c r="A68" t="inlineStr">
        <is>
          <t>2026-09-29</t>
        </is>
      </c>
      <c r="B68" t="inlineStr">
        <is>
          <t>Trade Wars &amp; Escalations</t>
        </is>
      </c>
      <c r="C68" t="n">
        <v>160</v>
      </c>
      <c r="D68" t="n">
        <v>126</v>
      </c>
      <c r="E68" t="n">
        <v>6.904</v>
      </c>
      <c r="F68">
        <f>IF(B67=B68, IFERROR((E68-E67)/ABS(E67), "n/a"), "")</f>
        <v/>
      </c>
    </row>
    <row r="69">
      <c r="A69" t="inlineStr">
        <is>
          <t>2026-09-30</t>
        </is>
      </c>
      <c r="B69" t="inlineStr">
        <is>
          <t>Trade Wars &amp; Escalations</t>
        </is>
      </c>
      <c r="C69" t="n">
        <v>120</v>
      </c>
      <c r="D69" t="n">
        <v>94</v>
      </c>
      <c r="E69" t="n">
        <v>7.423</v>
      </c>
      <c r="F69">
        <f>IF(B68=B69, IFERROR((E69-E68)/ABS(E68), "n/a"), "")</f>
        <v/>
      </c>
    </row>
    <row r="70">
      <c r="A70" t="inlineStr">
        <is>
          <t>2026-10-01</t>
        </is>
      </c>
      <c r="B70" t="inlineStr">
        <is>
          <t>Trade Wars &amp; Escalations</t>
        </is>
      </c>
      <c r="C70" t="n">
        <v>120</v>
      </c>
      <c r="D70" t="n">
        <v>95</v>
      </c>
      <c r="E70" t="n">
        <v>7.816</v>
      </c>
      <c r="F70">
        <f>IF(B69=B70, IFERROR((E70-E69)/ABS(E69), "n/a"), "")</f>
        <v/>
      </c>
    </row>
    <row r="71">
      <c r="A71" t="inlineStr">
        <is>
          <t>2026-10-02</t>
        </is>
      </c>
      <c r="B71" t="inlineStr">
        <is>
          <t>Trade Wars &amp; Escalations</t>
        </is>
      </c>
      <c r="C71" t="n">
        <v>120</v>
      </c>
      <c r="D71" t="n">
        <v>95</v>
      </c>
      <c r="E71" t="n">
        <v>8.606</v>
      </c>
      <c r="F71">
        <f>IF(B70=B71, IFERROR((E71-E70)/ABS(E70), "n/a"), "")</f>
        <v/>
      </c>
    </row>
    <row r="72">
      <c r="A72" t="inlineStr">
        <is>
          <t>2026-10-03</t>
        </is>
      </c>
      <c r="B72" t="inlineStr">
        <is>
          <t>Trade Wars &amp; Escalations</t>
        </is>
      </c>
      <c r="C72" t="n">
        <v>160</v>
      </c>
      <c r="D72" t="n">
        <v>120</v>
      </c>
      <c r="E72" t="n">
        <v>8.890000000000001</v>
      </c>
      <c r="F72">
        <f>IF(B71=B72, IFERROR((E72-E71)/ABS(E71), "n/a"), "")</f>
        <v/>
      </c>
    </row>
    <row r="73">
      <c r="A73" t="inlineStr">
        <is>
          <t>2026-10-04</t>
        </is>
      </c>
      <c r="B73" t="inlineStr">
        <is>
          <t>Trade Wars &amp; Escalations</t>
        </is>
      </c>
      <c r="C73" t="n">
        <v>160</v>
      </c>
      <c r="D73" t="n">
        <v>120</v>
      </c>
      <c r="E73" t="n">
        <v>9.275</v>
      </c>
      <c r="F73">
        <f>IF(B72=B73, IFERROR((E73-E72)/ABS(E72), "n/a"), "")</f>
        <v/>
      </c>
    </row>
    <row r="74">
      <c r="A74" t="inlineStr">
        <is>
          <t>2026-10-05</t>
        </is>
      </c>
      <c r="B74" t="inlineStr">
        <is>
          <t>Trade Wars &amp; Escalations</t>
        </is>
      </c>
      <c r="C74" t="n">
        <v>80</v>
      </c>
      <c r="D74" t="n">
        <v>59</v>
      </c>
      <c r="E74" t="n">
        <v>10.021</v>
      </c>
      <c r="F74">
        <f>IF(B73=B74, IFERROR((E74-E73)/ABS(E73), "n/a"), "")</f>
        <v/>
      </c>
    </row>
    <row r="75">
      <c r="A75" t="inlineStr">
        <is>
          <t>2026-10-06</t>
        </is>
      </c>
      <c r="B75" t="inlineStr">
        <is>
          <t>Trade Wars &amp; Escalations</t>
        </is>
      </c>
      <c r="C75" t="n">
        <v>160</v>
      </c>
      <c r="D75" t="n">
        <v>118</v>
      </c>
      <c r="E75" t="n">
        <v>8.647</v>
      </c>
      <c r="F75">
        <f>IF(B74=B75, IFERROR((E75-E74)/ABS(E74), "n/a"), "")</f>
        <v/>
      </c>
    </row>
    <row r="76">
      <c r="A76" t="inlineStr">
        <is>
          <t>2026-10-07</t>
        </is>
      </c>
      <c r="B76" t="inlineStr">
        <is>
          <t>Trade Wars &amp; Escalations</t>
        </is>
      </c>
      <c r="C76" t="n">
        <v>120</v>
      </c>
      <c r="D76" t="n">
        <v>90</v>
      </c>
      <c r="E76" t="n">
        <v>8.141999999999999</v>
      </c>
      <c r="F76">
        <f>IF(B75=B76, IFERROR((E76-E75)/ABS(E75),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2026-10-08T15:33:54Z</dcterms:modified>
</cp:coreProperties>
</file>