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3">
      <c r="A503" t="inlineStr">
        <is>
          <t>2026-10-29T21:01:13+00:00</t>
        </is>
      </c>
      <c r="B503" t="inlineStr">
        <is>
          <t>2026-10-29</t>
        </is>
      </c>
      <c r="C503" t="inlineStr">
        <is>
          <t>Middle East Oil Risk</t>
        </is>
      </c>
      <c r="D503" t="n">
        <v>45</v>
      </c>
      <c r="E503" t="n">
        <v>0.613</v>
      </c>
      <c r="F503" t="n">
        <v>-0.394</v>
      </c>
      <c r="G503" t="n">
        <v>32</v>
      </c>
      <c r="H503" t="n">
        <v>0.793</v>
      </c>
      <c r="I503" t="n">
        <v>0.06</v>
      </c>
      <c r="J503" t="n">
        <v>14.407</v>
      </c>
      <c r="K503" t="inlineStr">
        <is>
          <t>US-Iran War Live Updates: Mojtaba Khamenei calls for end to ‘neither war nor peace’ as Iran vows to resist pressure - The Times of India</t>
        </is>
      </c>
      <c r="L503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3" t="inlineStr">
        <is>
          <t>Israel-Hezbollah clashes kill 11 as Mideast conflict escalation gathers pace after U.S.-Iran strikes - CNBC</t>
        </is>
      </c>
      <c r="N5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3" t="inlineStr">
        <is>
          <t>Iran War Updates: U.S. Launches New Strikes, as Tensions Escalate Over Strait of Hormuz - The New York Times</t>
        </is>
      </c>
      <c r="P503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3" t="inlineStr">
        <is>
          <t>vader</t>
        </is>
      </c>
      <c r="R503" t="inlineStr">
        <is>
          <t>Palestinian president says he hopes for peace talks with new Israeli government - Middle East Eye</t>
        </is>
      </c>
      <c r="S503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3" t="inlineStr">
        <is>
          <t>Vance Proposes Restarting Peace Talks in Outreach to Iranian Official - The New York Times</t>
        </is>
      </c>
      <c r="U503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3" t="inlineStr">
        <is>
          <t>Trump warns Iran will be hit 'really hard' if nuclear negotiations collapse again - Fox News</t>
        </is>
      </c>
      <c r="W503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</row>
    <row r="504">
      <c r="A504" t="inlineStr">
        <is>
          <t>2026-10-29T21:01:13+00:00</t>
        </is>
      </c>
      <c r="B504" t="inlineStr">
        <is>
          <t>2026-10-29</t>
        </is>
      </c>
      <c r="C504" t="inlineStr">
        <is>
          <t>Macroeconomic Interventions</t>
        </is>
      </c>
      <c r="D504" t="n">
        <v>40</v>
      </c>
      <c r="E504" t="n">
        <v>0.511</v>
      </c>
      <c r="F504" t="n">
        <v>-0.024</v>
      </c>
      <c r="G504" t="n">
        <v>32</v>
      </c>
      <c r="H504" t="n">
        <v>0.199</v>
      </c>
      <c r="I504" t="n">
        <v>0.068</v>
      </c>
      <c r="J504" t="n">
        <v>-9.398</v>
      </c>
      <c r="K504" t="inlineStr">
        <is>
          <t>RBI's ₹2.5 trillion liquidity infusion sends mixed signals: SBI Research - Business Standard</t>
        </is>
      </c>
      <c r="L50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4" t="inlineStr">
        <is>
          <t>What the US-Japan Currency Intervention Means for the Yen, Rates, and the Dollar - Goldman Sachs</t>
        </is>
      </c>
      <c r="N50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4" t="inlineStr">
        <is>
          <t>China's central bank to inject 2.1 trillion yuan in liquidity - IDNFinancials</t>
        </is>
      </c>
      <c r="P50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504" t="inlineStr">
        <is>
          <t>finbert</t>
        </is>
      </c>
      <c r="R504" t="inlineStr">
        <is>
          <t>U.S. Treasury Yields Fall as Investors Digest Fed Meet, Focus Shifts to ECB - marketscreener.com</t>
        </is>
      </c>
      <c r="S504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4" t="inlineStr">
        <is>
          <t>What the Fed's interest rate decision means for your bank accounts, loans, credit cards, and investments - Yahoo Finance</t>
        </is>
      </c>
      <c r="U504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504" t="inlineStr">
        <is>
          <t>U.S. efforts to prop up Japanese Yen is purely to stabilize its own bond market: Economist - CNBC</t>
        </is>
      </c>
      <c r="W504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505">
      <c r="A505" t="inlineStr">
        <is>
          <t>2026-10-29T21:01:13+00:00</t>
        </is>
      </c>
      <c r="B505" t="inlineStr">
        <is>
          <t>2026-10-29</t>
        </is>
      </c>
      <c r="C505" t="inlineStr">
        <is>
          <t>Trade Wars &amp; Escalations</t>
        </is>
      </c>
      <c r="D505" t="n">
        <v>40</v>
      </c>
      <c r="E505" t="n">
        <v>0.5679999999999999</v>
      </c>
      <c r="F505" t="n">
        <v>-0.158</v>
      </c>
      <c r="G505" t="n">
        <v>32</v>
      </c>
      <c r="H505" t="n">
        <v>0.801</v>
      </c>
      <c r="I505" t="n">
        <v>0.048</v>
      </c>
      <c r="J505" t="n">
        <v>6.376</v>
      </c>
      <c r="K505" t="inlineStr">
        <is>
          <t>Trump escalates trade war with Canada, moving to ban imports of some motorcycles, dairy and alcohol - NBC News</t>
        </is>
      </c>
      <c r="L50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5" t="inlineStr">
        <is>
          <t>CBP program secures supply chains to better protect the border - Federal News Network</t>
        </is>
      </c>
      <c r="N505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05" t="inlineStr">
        <is>
          <t>Trade War Escalation Deepens Uncertainty for Canadian Economy - Morningstar</t>
        </is>
      </c>
      <c r="P505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505" t="inlineStr">
        <is>
          <t>vader</t>
        </is>
      </c>
      <c r="R505" t="inlineStr">
        <is>
          <t>BD Wins Tariff Relief Through Manufacturing Pact - Medical Device and Diagnostic industry</t>
        </is>
      </c>
      <c r="S50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5" t="inlineStr">
        <is>
          <t>China says it hopes to agree with the US on tariff reductions at ‘an early date’ - AP News</t>
        </is>
      </c>
      <c r="U50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5" t="inlineStr">
        <is>
          <t>Canada, China hit reset button on relations with tariff agreement - South China Morning Post</t>
        </is>
      </c>
      <c r="W505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6">
      <c r="A506" t="inlineStr">
        <is>
          <t>2026-10-30T05:35:12+00:00</t>
        </is>
      </c>
      <c r="B506" t="inlineStr">
        <is>
          <t>2026-10-30</t>
        </is>
      </c>
      <c r="C506" t="inlineStr">
        <is>
          <t>Middle East Oil Risk</t>
        </is>
      </c>
      <c r="D506" t="n">
        <v>48</v>
      </c>
      <c r="E506" t="n">
        <v>0.5590000000000001</v>
      </c>
      <c r="F506" t="n">
        <v>-0.372</v>
      </c>
      <c r="G506" t="n">
        <v>32</v>
      </c>
      <c r="H506" t="n">
        <v>0.862</v>
      </c>
      <c r="I506" t="n">
        <v>0.104</v>
      </c>
      <c r="J506" t="n">
        <v>15.262</v>
      </c>
      <c r="K506" t="inlineStr">
        <is>
          <t>Israel-Hezbollah clashes kill 11 as Mideast conflict escalation gathers pace after U.S.-Iran strikes - CNBC</t>
        </is>
      </c>
      <c r="L5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6" t="inlineStr">
        <is>
          <t>Lebanon fears renewed war as Israel-Hezbollah tensions rise - アラブニュース</t>
        </is>
      </c>
      <c r="N506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06" t="inlineStr">
        <is>
          <t>Iran War Updates: U.S. Launches New Strikes, as Tensions Escalate Over Strait of Hormuz - The New York Times</t>
        </is>
      </c>
      <c r="P506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6" t="inlineStr">
        <is>
          <t>vader</t>
        </is>
      </c>
      <c r="R506" t="inlineStr">
        <is>
          <t>Palestinian president says he hopes for peace talks with new Israeli government - Middle East Eye</t>
        </is>
      </c>
      <c r="S506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6" t="inlineStr">
        <is>
          <t>Palestinian president says hopes for peace talks with new Israeli government - Al Arabiya English</t>
        </is>
      </c>
      <c r="U506" t="inlineStr">
        <is>
          <t>https://news.google.com/rss/articles/CBMizwFBVV95cUxQMjdENlY5amlabl9ZNDVrTnJILW1kT2F1ckxKSG9YV1VfeXRRVGlvd0pwa01PT3ZSVGNrck5VaE5XLVJpS0tYWWdEUE0wdEVmUnpjNHBaU3d5WEVieHJDZGpyQ05xWXcxUU5pTU9aQVNTSWE4WUZfcEU0dlQxTTVRSkVTVDRmaFpHb0ZPQUJnVDRDaExrZnV5N0JLdGtOMG51NmtjODJOUnZxUlp5MWxuR2Nab3hjSElzZTRNeVAyQktQX04xVzhPbFdjb1V0TlXSAdQBQVVfeXFMT2tsZGJWVjdST2xZTFpiZHN3d3ppY0F5eXZlbXA0ZmlpbnZvcVRTSGZqRW4xZ18tbWZIQmlaSlZpMzhSNl80MDhxM1dfeGFTOGpLd3A5Y0NrejM0LUNnY0hETDNuejUxNGdmZE9wUVVRbENudDRCSTZ3bzRxbUNDa3h2V05wZF93aVN3WjctRnJuVk5ZeTVUQm8zOXJTRzBjajBIdlNHWnZCTUR4SXpwWnNnTUFjaFIwYndZTFdIVFFrZ2plVlpmdjRRQXR3MHN6LXBFZDg?oc=5</t>
        </is>
      </c>
      <c r="V506" t="inlineStr">
        <is>
          <t>Vance Proposes Restarting Peace Talks in Outreach to Iranian Official - The New York Times</t>
        </is>
      </c>
      <c r="W506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</row>
    <row r="507">
      <c r="A507" t="inlineStr">
        <is>
          <t>2026-10-30T05:35:12+00:00</t>
        </is>
      </c>
      <c r="B507" t="inlineStr">
        <is>
          <t>2026-10-30</t>
        </is>
      </c>
      <c r="C507" t="inlineStr">
        <is>
          <t>Macroeconomic Interventions</t>
        </is>
      </c>
      <c r="D507" t="n">
        <v>40</v>
      </c>
      <c r="E507" t="n">
        <v>0.379</v>
      </c>
      <c r="F507" t="n">
        <v>0.08799999999999999</v>
      </c>
      <c r="G507" t="n">
        <v>32</v>
      </c>
      <c r="H507" t="n">
        <v>0.324</v>
      </c>
      <c r="I507" t="n">
        <v>0.066</v>
      </c>
      <c r="J507" t="n">
        <v>-8.75</v>
      </c>
      <c r="K507" t="inlineStr">
        <is>
          <t>Bitcoin posts surprise rally as currency nears $70,000 for the first time since June - Fortune</t>
        </is>
      </c>
      <c r="L5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07" t="inlineStr">
        <is>
          <t>RBI's ₹2.5 trillion liquidity infusion sends mixed signals: SBI Research - Business Standard</t>
        </is>
      </c>
      <c r="N50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507" t="inlineStr">
        <is>
          <t>Chart of the Day: USDJPY Caught in a Trap. Tokyo Intervention and a Hawkish BoJ Loom - XTB.com</t>
        </is>
      </c>
      <c r="P507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Q507" t="inlineStr">
        <is>
          <t>finbert</t>
        </is>
      </c>
      <c r="R507" t="inlineStr">
        <is>
          <t>BOJ declares victory in hitting price target, signals near-term hikes - Reuters</t>
        </is>
      </c>
      <c r="S507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07" t="inlineStr">
        <is>
          <t>U.S. Treasury Yields Fall as Investors Digest Fed Meet, Focus Shifts to ECB - marketscreener.com</t>
        </is>
      </c>
      <c r="U507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V507" t="inlineStr">
        <is>
          <t>What the Fed's interest rate decision means for your bank accounts, loans, credit cards, and investments - Yahoo Finance</t>
        </is>
      </c>
      <c r="W507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8">
      <c r="A508" t="inlineStr">
        <is>
          <t>2026-10-30T05:35:12+00:00</t>
        </is>
      </c>
      <c r="B508" t="inlineStr">
        <is>
          <t>2026-10-30</t>
        </is>
      </c>
      <c r="C508" t="inlineStr">
        <is>
          <t>Trade Wars &amp; Escalations</t>
        </is>
      </c>
      <c r="D508" t="n">
        <v>40</v>
      </c>
      <c r="E508" t="n">
        <v>0.635</v>
      </c>
      <c r="F508" t="n">
        <v>-0.189</v>
      </c>
      <c r="G508" t="n">
        <v>32</v>
      </c>
      <c r="H508" t="n">
        <v>0.875</v>
      </c>
      <c r="I508" t="n">
        <v>0.012</v>
      </c>
      <c r="J508" t="n">
        <v>7.596</v>
      </c>
      <c r="K508" t="inlineStr">
        <is>
          <t>Trump escalates trade war with Canada, moving to ban imports of some motorcycles, dairy and alcohol - NBC News</t>
        </is>
      </c>
      <c r="L50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8" t="inlineStr">
        <is>
          <t>Trade War Escalation Deepens Uncertainty for Canadian Economy - Morningstar</t>
        </is>
      </c>
      <c r="N508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8" t="inlineStr">
        <is>
          <t>China imposes 34% reciprocal tariffs on imports of US goods in retaliation for Trump’s trade war | CNN Business - CNN</t>
        </is>
      </c>
      <c r="P508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8" t="inlineStr">
        <is>
          <t>vader</t>
        </is>
      </c>
      <c r="R508" t="inlineStr">
        <is>
          <t>China says it hopes to agree with the US on tariff reductions at ‘an early date’ - AP News</t>
        </is>
      </c>
      <c r="S50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508" t="inlineStr">
        <is>
          <t>US, China agree to extend trade truce by two months, work on bigger deal, Bessent says - Reuters</t>
        </is>
      </c>
      <c r="U508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  <c r="V508" t="inlineStr">
        <is>
          <t>EU loan to Airbus threatens trade truce with US, Trump trade official warns - Financial Times</t>
        </is>
      </c>
      <c r="W508" t="inlineStr">
        <is>
          <t>https://news.google.com/rss/articles/CBMihAFBVV95cUxQampQeEJ6OWl0bXcySkR5SGZKV2ZxcnYyZVdrdGF1TUtBQUVObnNsdHJuYU5GOTZVWVZ5Z1g2Q2tIeHNVNmZOUDJXNUszWVhUTUlBX0loQWo3S0pfblNuM2ozNFdVQnNmb29KX0ItdFpsUEFYNDBoVklvVkE2MGhFMjNtNHI?oc=5</t>
        </is>
      </c>
    </row>
    <row r="509">
      <c r="A509" t="inlineStr">
        <is>
          <t>2026-10-30T15:01:18+00:00</t>
        </is>
      </c>
      <c r="B509" t="inlineStr">
        <is>
          <t>2026-10-30</t>
        </is>
      </c>
      <c r="C509" t="inlineStr">
        <is>
          <t>Middle East Oil Risk</t>
        </is>
      </c>
      <c r="D509" t="n">
        <v>46</v>
      </c>
      <c r="E509" t="n">
        <v>0.59</v>
      </c>
      <c r="F509" t="n">
        <v>-0.387</v>
      </c>
      <c r="G509" t="n">
        <v>32</v>
      </c>
      <c r="H509" t="n">
        <v>0.83</v>
      </c>
      <c r="I509" t="n">
        <v>0.091</v>
      </c>
      <c r="J509" t="n">
        <v>14.439</v>
      </c>
      <c r="K509" t="inlineStr">
        <is>
          <t>Israel-Hezbollah clashes kill 11 as Mideast conflict escalation gathers pace after U.S.-Iran strikes - CNBC</t>
        </is>
      </c>
      <c r="L5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9" t="inlineStr">
        <is>
          <t>Israeli strikes in southern Lebanese village kill 12 - BBC</t>
        </is>
      </c>
      <c r="N509" t="inlineStr">
        <is>
          <t>https://news.google.com/rss/articles/CBMiWkFVX3lxTFBkeHo4dnBmNnFsLXpHaUU2czN0MG52bTBadUNFVlNWTTExWWFTanpTZnp3YS1QVEFsVkVPYWREVFRhRVBvY3NwcV9kakJ5clVhb2VtUjhMNzlTZw?oc=5</t>
        </is>
      </c>
      <c r="O509" t="inlineStr">
        <is>
          <t>IDF fears U.S. may seek short Iran war that ends before Israel meets goals - Haaretz</t>
        </is>
      </c>
      <c r="P509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09" t="inlineStr">
        <is>
          <t>vader</t>
        </is>
      </c>
      <c r="R509" t="inlineStr">
        <is>
          <t>JD Vance contacts senior Iranian official in bid to revive peace talks - Euronews.com</t>
        </is>
      </c>
      <c r="S509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09" t="inlineStr">
        <is>
          <t>Vance Proposes Restarting Peace Talks in Outreach to Iranian Official - The New York Times</t>
        </is>
      </c>
      <c r="U509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9" t="inlineStr">
        <is>
          <t>Exclusive | Vance Reaches Out to Iranian Hard-Liner in Bid to Restart Peace Talks - WSJ</t>
        </is>
      </c>
      <c r="W509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0">
      <c r="A510" t="inlineStr">
        <is>
          <t>2026-10-30T15:01:18+00:00</t>
        </is>
      </c>
      <c r="B510" t="inlineStr">
        <is>
          <t>2026-10-30</t>
        </is>
      </c>
      <c r="C510" t="inlineStr">
        <is>
          <t>Macroeconomic Interventions</t>
        </is>
      </c>
      <c r="D510" t="n">
        <v>40</v>
      </c>
      <c r="E510" t="n">
        <v>0.419</v>
      </c>
      <c r="F510" t="n">
        <v>0.063</v>
      </c>
      <c r="G510" t="n">
        <v>32</v>
      </c>
      <c r="H510" t="n">
        <v>0.377</v>
      </c>
      <c r="I510" t="n">
        <v>0.17</v>
      </c>
      <c r="J510" t="n">
        <v>-10.401</v>
      </c>
      <c r="K510" t="inlineStr">
        <is>
          <t>UAE injects $8bn into banking system as liquidity falls - TheBanker.com</t>
        </is>
      </c>
      <c r="L5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10" t="inlineStr">
        <is>
          <t>Chart of the Day: USDJPY Caught in a Trap. Tokyo Intervention and a Hawkish BoJ Loom - XTB.com</t>
        </is>
      </c>
      <c r="N510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O510" t="inlineStr">
        <is>
          <t>Hearing on "Interest on Reserves Payments" - Cato Institute</t>
        </is>
      </c>
      <c r="P5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10" t="inlineStr">
        <is>
          <t>finbert</t>
        </is>
      </c>
      <c r="R510" t="inlineStr">
        <is>
          <t>BOJ declares victory in hitting price target, signals near-term hikes - Reuters</t>
        </is>
      </c>
      <c r="S510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0" t="inlineStr">
        <is>
          <t>Ueda Speech: BoJ Governor discusses policy outlook after the expected interest rate hold - FXStreet</t>
        </is>
      </c>
      <c r="U510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0" t="inlineStr">
        <is>
          <t>Federal Funds Rate History 1990 to 2026 - Forbes</t>
        </is>
      </c>
      <c r="W51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511">
      <c r="A511" t="inlineStr">
        <is>
          <t>2026-10-30T15:01:18+00:00</t>
        </is>
      </c>
      <c r="B511" t="inlineStr">
        <is>
          <t>2026-10-30</t>
        </is>
      </c>
      <c r="C511" t="inlineStr">
        <is>
          <t>Trade Wars &amp; Escalations</t>
        </is>
      </c>
      <c r="D511" t="n">
        <v>40</v>
      </c>
      <c r="E511" t="n">
        <v>0.6909999999999999</v>
      </c>
      <c r="F511" t="n">
        <v>-0.236</v>
      </c>
      <c r="G511" t="n">
        <v>32</v>
      </c>
      <c r="H511" t="n">
        <v>0.73</v>
      </c>
      <c r="I511" t="n">
        <v>0.155</v>
      </c>
      <c r="J511" t="n">
        <v>6.233</v>
      </c>
      <c r="K511" t="inlineStr">
        <is>
          <t>Trump escalates trade war with Canada, moving to ban imports of some motorcycles, dairy and alcohol - NBC News</t>
        </is>
      </c>
      <c r="L51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11" t="inlineStr">
        <is>
          <t>Trade War Escalation Deepens Uncertainty for Canadian Economy - Morningstar</t>
        </is>
      </c>
      <c r="N51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11" t="inlineStr">
        <is>
          <t>Beijing rejects spy claims involving Nvidia CEO amid rising US-China tech tensions - South China Morning Post</t>
        </is>
      </c>
      <c r="P511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Q511" t="inlineStr">
        <is>
          <t>vader</t>
        </is>
      </c>
      <c r="R511" t="inlineStr">
        <is>
          <t>BD Wins Tariff Relief Through Manufacturing Pact - Medical Device and Diagnostic industry</t>
        </is>
      </c>
      <c r="S51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1" t="inlineStr">
        <is>
          <t>NMPF’s Gregg Doud: Managed China Trade Deal Better for Dairy Than Free Market ‘Chaos’ - Dairy Herd</t>
        </is>
      </c>
      <c r="U51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511" t="inlineStr">
        <is>
          <t>China’s Xi, Swiss president praise trade deal that boosts access - The Kathmandu Post</t>
        </is>
      </c>
      <c r="W511" t="inlineStr">
        <is>
          <t>https://news.google.com/rss/articles/CBMiqgFBVV95cUxOUFJtSmJiajBvVngzZTdPNmFabG5fdGlDZklITmtMTWJwU1ZDbFhUUlpFclkyZHdVYlJ3Z2VtQXJQTVBvVDEwSEE4cWhNTWZDeFhHdzh5bXVpU19DbFZuQ01LLXVzY040T04wc1hoZ3B0NFFkc2F6OFBaRmhlRFN3Z1dSWWl2bkZlOFhuV21TZjlXT3VFYzBSdHVSeXZTenVKaDBlNnd3a3BZdw?oc=5</t>
        </is>
      </c>
    </row>
    <row r="512">
      <c r="A512" t="inlineStr">
        <is>
          <t>2026-10-30T20:41:45+00:00</t>
        </is>
      </c>
      <c r="B512" t="inlineStr">
        <is>
          <t>2026-10-30</t>
        </is>
      </c>
      <c r="C512" t="inlineStr">
        <is>
          <t>Middle East Oil Risk</t>
        </is>
      </c>
      <c r="D512" t="n">
        <v>47</v>
      </c>
      <c r="E512" t="n">
        <v>0.535</v>
      </c>
      <c r="F512" t="n">
        <v>-0.364</v>
      </c>
      <c r="G512" t="n">
        <v>32</v>
      </c>
      <c r="H512" t="n">
        <v>0.876</v>
      </c>
      <c r="I512" t="n">
        <v>0.114</v>
      </c>
      <c r="J512" t="n">
        <v>14.22</v>
      </c>
      <c r="K512" t="inlineStr">
        <is>
          <t>Israel-Hezbollah clashes kill 11 as Mideast conflict escalation gathers pace after U.S.-Iran strikes - CNBC</t>
        </is>
      </c>
      <c r="L5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2" t="inlineStr">
        <is>
          <t>Lebanon fears renewed war as Israel-Hezbollah tensions rise - アラブニュース</t>
        </is>
      </c>
      <c r="N512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12" t="inlineStr">
        <is>
          <t>IDF fears U.S. may seek short Iran war that ends before Israel meets goals - Haaretz</t>
        </is>
      </c>
      <c r="P512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12" t="inlineStr">
        <is>
          <t>vader</t>
        </is>
      </c>
      <c r="R512" t="inlineStr">
        <is>
          <t>JD Vance contacts senior Iranian official in bid to revive peace talks - Euronews</t>
        </is>
      </c>
      <c r="S512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12" t="inlineStr">
        <is>
          <t>Vance Proposes Restarting Peace Talks in Outreach to Iranian Official - The New York Times</t>
        </is>
      </c>
      <c r="U512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12" t="inlineStr">
        <is>
          <t>Exclusive | Vance Reaches Out to Iranian Hard-Liner in Bid to Restart Peace Talks - WSJ</t>
        </is>
      </c>
      <c r="W512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3">
      <c r="A513" t="inlineStr">
        <is>
          <t>2026-10-30T20:41:45+00:00</t>
        </is>
      </c>
      <c r="B513" t="inlineStr">
        <is>
          <t>2026-10-30</t>
        </is>
      </c>
      <c r="C513" t="inlineStr">
        <is>
          <t>Macroeconomic Interventions</t>
        </is>
      </c>
      <c r="D513" t="n">
        <v>40</v>
      </c>
      <c r="E513" t="n">
        <v>0.412</v>
      </c>
      <c r="F513" t="n">
        <v>0.031</v>
      </c>
      <c r="G513" t="n">
        <v>32</v>
      </c>
      <c r="H513" t="n">
        <v>0.221</v>
      </c>
      <c r="I513" t="n">
        <v>0.161</v>
      </c>
      <c r="J513" t="n">
        <v>-7.767</v>
      </c>
      <c r="K513" t="inlineStr">
        <is>
          <t>Bitcoin posts surprise rally as currency nears $70,000 for the first time since June - Fortune</t>
        </is>
      </c>
      <c r="L5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3" t="inlineStr">
        <is>
          <t>UAE injects $8bn into banking system as liquidity falls - TheBanker.com</t>
        </is>
      </c>
      <c r="N5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13" t="inlineStr">
        <is>
          <t>What the US-Japan Currency Intervention Means for the Yen, Rates, and the Dollar - Goldman Sachs</t>
        </is>
      </c>
      <c r="P513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513" t="inlineStr">
        <is>
          <t>finbert</t>
        </is>
      </c>
      <c r="R513" t="inlineStr">
        <is>
          <t>BOJ declares victory in hitting price target, signals near-term hikes - Reuters</t>
        </is>
      </c>
      <c r="S513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3" t="inlineStr">
        <is>
          <t>Ueda Speech: BoJ Governor discusses policy outlook after the expected interest rate hold - FXStreet</t>
        </is>
      </c>
      <c r="U513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3" t="inlineStr">
        <is>
          <t>Fed Holds Rates as Interest Costs on the National Debt Top $1 Trillion - Peter G. Peterson Foundation</t>
        </is>
      </c>
      <c r="W513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14">
      <c r="A514" t="inlineStr">
        <is>
          <t>2026-10-30T20:41:45+00:00</t>
        </is>
      </c>
      <c r="B514" t="inlineStr">
        <is>
          <t>2026-10-30</t>
        </is>
      </c>
      <c r="C514" t="inlineStr">
        <is>
          <t>Trade Wars &amp; Escalations</t>
        </is>
      </c>
      <c r="D514" t="n">
        <v>39</v>
      </c>
      <c r="E514" t="n">
        <v>0.583</v>
      </c>
      <c r="F514" t="n">
        <v>-0.13</v>
      </c>
      <c r="G514" t="n">
        <v>32</v>
      </c>
      <c r="H514" t="n">
        <v>0.869</v>
      </c>
      <c r="I514" t="n">
        <v>0.097</v>
      </c>
      <c r="J514" t="n">
        <v>4.474</v>
      </c>
      <c r="K514" t="inlineStr">
        <is>
          <t>CBP program secures supply chains to better protect the border - Federal News Network</t>
        </is>
      </c>
      <c r="L51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514" t="inlineStr">
        <is>
          <t>Beijing rejects spy claims involving Nvidia CEO amid rising US-China tech tensions - South China Morning Post</t>
        </is>
      </c>
      <c r="N514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O514" t="inlineStr">
        <is>
          <t>Beijing threatens retaliation if UK follows EU in restricting Chinese EVs - Automotive News</t>
        </is>
      </c>
      <c r="P514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14" t="inlineStr">
        <is>
          <t>vader</t>
        </is>
      </c>
      <c r="R514" t="inlineStr">
        <is>
          <t>BD Wins Tariff Relief Through Manufacturing Pact - Medical Device and Diagnostic industry</t>
        </is>
      </c>
      <c r="S51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4" t="inlineStr">
        <is>
          <t>China says it hopes to agree with the US on tariff reductions at ‘an early date’ - AP News</t>
        </is>
      </c>
      <c r="U51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14" t="inlineStr">
        <is>
          <t>Becton Dickinson to Invest $19 Billion in U.S. in Exchange for Tariff Relief - WSJ</t>
        </is>
      </c>
      <c r="W514" t="inlineStr">
        <is>
          <t>https://news.google.com/rss/articles/CBMirAFBVV95cUxQOUpSZTYtYk9HcDJtam5qZk9xNE1wS2RWaDlzMVpENWpOR3EzUlpUTDFTOTc0a1N6ZXEzNEwzR0FOVUlMcHZ5LTFneEh3dHVtS0l2aDJXdEJ4aEpkNTBDald6bk5nNDFHdHd1ZHlscnU1OVU4MDdVN0Mwa1RLUEJtWk9TaFc5S0g3cE8xd0NzM0JaakN4T0pBTTR0eXcwdldYdmZjdk55M0NPYWFH?oc=5</t>
        </is>
      </c>
    </row>
    <row r="515">
      <c r="A515" t="inlineStr">
        <is>
          <t>2026-10-31T05:21:54+00:00</t>
        </is>
      </c>
      <c r="B515" t="inlineStr">
        <is>
          <t>2026-10-31</t>
        </is>
      </c>
      <c r="C515" t="inlineStr">
        <is>
          <t>Middle East Oil Risk</t>
        </is>
      </c>
      <c r="D515" t="n">
        <v>46</v>
      </c>
      <c r="E515" t="n">
        <v>0.656</v>
      </c>
      <c r="F515" t="n">
        <v>-0.387</v>
      </c>
      <c r="G515" t="n">
        <v>32</v>
      </c>
      <c r="H515" t="n">
        <v>0.907</v>
      </c>
      <c r="I515" t="n">
        <v>0.104</v>
      </c>
      <c r="J515" t="n">
        <v>14.241</v>
      </c>
      <c r="K515" t="inlineStr">
        <is>
          <t>Israel-Hezbollah clashes kill 11 as Mideast conflict escalation gathers pace after U.S.-Iran strikes - CNBC</t>
        </is>
      </c>
      <c r="L5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5" t="inlineStr">
        <is>
          <t>Iran War Updates: U.S. Launches New Strikes, as Tensions Escalate Over Strait of Hormuz - The New York Times</t>
        </is>
      </c>
      <c r="N51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O515" t="inlineStr">
        <is>
          <t>Israeli strikes in southern Lebanese village kill 12 - BBC</t>
        </is>
      </c>
      <c r="P515" t="inlineStr">
        <is>
          <t>https://news.google.com/rss/articles/CBMiWkFVX3lxTFBkeHo4dnBmNnFsLXpHaUU2czN0MG52bTBadUNFVlNWTTExWWFTanpTZnp3YS1QVEFsVkVPYWREVFRhRVBvY3NwcV9kakJ5clVhb2VtUjhMNzlTZw?oc=5</t>
        </is>
      </c>
      <c r="Q515" t="inlineStr">
        <is>
          <t>vader</t>
        </is>
      </c>
      <c r="R515" t="inlineStr">
        <is>
          <t>JD Vance contacts senior Iranian official in bid to revive peace talks - Euronews.com</t>
        </is>
      </c>
      <c r="S515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15" t="inlineStr">
        <is>
          <t>Vance Proposes Restarting Peace Talks in Outreach to Iranian Official - The New York Times</t>
        </is>
      </c>
      <c r="U515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15" t="inlineStr">
        <is>
          <t>Exclusive | Vance Reaches Out to Iranian Hard-Liner in Bid to Restart Peace Talks - WSJ</t>
        </is>
      </c>
      <c r="W515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6">
      <c r="A516" t="inlineStr">
        <is>
          <t>2026-10-31T05:21:54+00:00</t>
        </is>
      </c>
      <c r="B516" t="inlineStr">
        <is>
          <t>2026-10-31</t>
        </is>
      </c>
      <c r="C516" t="inlineStr">
        <is>
          <t>Macroeconomic Interventions</t>
        </is>
      </c>
      <c r="D516" t="n">
        <v>40</v>
      </c>
      <c r="E516" t="n">
        <v>0.5639999999999999</v>
      </c>
      <c r="F516" t="n">
        <v>0.05</v>
      </c>
      <c r="G516" t="n">
        <v>32</v>
      </c>
      <c r="H516" t="n">
        <v>0.264</v>
      </c>
      <c r="I516" t="n">
        <v>0.127</v>
      </c>
      <c r="J516" t="n">
        <v>-11.502</v>
      </c>
      <c r="K516" t="inlineStr">
        <is>
          <t>UAE injects $8bn into banking system as liquidity falls - TheBanker.com</t>
        </is>
      </c>
      <c r="L5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16" t="inlineStr">
        <is>
          <t>Chart of the Day: USDJPY Caught in a Trap. Tokyo Intervention and a Hawkish BoJ Loom - XTB.com</t>
        </is>
      </c>
      <c r="N516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O516" t="inlineStr">
        <is>
          <t>How the RBI manages cash in the banking system - Substack</t>
        </is>
      </c>
      <c r="P51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516" t="inlineStr">
        <is>
          <t>finbert</t>
        </is>
      </c>
      <c r="R516" t="inlineStr">
        <is>
          <t>BOJ declares victory in hitting price target, signals near-term hikes - Reuters</t>
        </is>
      </c>
      <c r="S516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6" t="inlineStr">
        <is>
          <t>Ueda Speech: BoJ Governor discusses policy outlook after the expected interest rate hold - FXStreet</t>
        </is>
      </c>
      <c r="U516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6" t="inlineStr">
        <is>
          <t>Fed Holds Rates as Interest Costs on the National Debt Top $1 Trillion - Peter G. Peterson Foundation</t>
        </is>
      </c>
      <c r="W516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17">
      <c r="A517" t="inlineStr">
        <is>
          <t>2026-10-31T05:21:54+00:00</t>
        </is>
      </c>
      <c r="B517" t="inlineStr">
        <is>
          <t>2026-10-31</t>
        </is>
      </c>
      <c r="C517" t="inlineStr">
        <is>
          <t>Trade Wars &amp; Escalations</t>
        </is>
      </c>
      <c r="D517" t="n">
        <v>39</v>
      </c>
      <c r="E517" t="n">
        <v>0.553</v>
      </c>
      <c r="F517" t="n">
        <v>-0.153</v>
      </c>
      <c r="G517" t="n">
        <v>32</v>
      </c>
      <c r="H517" t="n">
        <v>0.866</v>
      </c>
      <c r="I517" t="n">
        <v>0.162</v>
      </c>
      <c r="J517" t="n">
        <v>3.892</v>
      </c>
      <c r="K517" t="inlineStr">
        <is>
          <t>CBP program secures supply chains to better protect the border - Federal News Network</t>
        </is>
      </c>
      <c r="L51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517" t="inlineStr">
        <is>
          <t>Beijing rejects spy claims involving Nvidia CEO amid rising US-China tech tensions - South China Morning Post</t>
        </is>
      </c>
      <c r="N517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O517" t="inlineStr">
        <is>
          <t>Beijing threatens retaliation if UK follows EU in restricting Chinese EVs - Automotive News</t>
        </is>
      </c>
      <c r="P51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17" t="inlineStr">
        <is>
          <t>vader</t>
        </is>
      </c>
      <c r="R517" t="inlineStr">
        <is>
          <t>BD Wins Tariff Relief Through Manufacturing Pact - Medical Device and Diagnostic industry</t>
        </is>
      </c>
      <c r="S51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7" t="inlineStr">
        <is>
          <t>Trump welcomes Xi to Washington as US, China agree to extend trade truce - Al Jazeera</t>
        </is>
      </c>
      <c r="U5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517" t="inlineStr">
        <is>
          <t>China says it hopes to agree with the US on tariff reductions at ‘an early date’ - AP News</t>
        </is>
      </c>
      <c r="W51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18">
      <c r="A518" t="inlineStr">
        <is>
          <t>2026-10-31T14:30:20+00:00</t>
        </is>
      </c>
      <c r="B518" t="inlineStr">
        <is>
          <t>2026-10-31</t>
        </is>
      </c>
      <c r="C518" t="inlineStr">
        <is>
          <t>Middle East Oil Risk</t>
        </is>
      </c>
      <c r="D518" t="n">
        <v>45</v>
      </c>
      <c r="E518" t="n">
        <v>0.518</v>
      </c>
      <c r="F518" t="n">
        <v>-0.376</v>
      </c>
      <c r="G518" t="n">
        <v>32</v>
      </c>
      <c r="H518" t="n">
        <v>0.908</v>
      </c>
      <c r="I518" t="n">
        <v>0.001</v>
      </c>
      <c r="J518" t="n">
        <v>14.948</v>
      </c>
      <c r="K518" t="inlineStr">
        <is>
          <t>Israel-Hezbollah clashes kill 11 as Mideast conflict escalation gathers pace after U.S.-Iran strikes - CNBC</t>
        </is>
      </c>
      <c r="L5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8" t="inlineStr">
        <is>
          <t>Lebanon fears renewed war as Israel-Hezbollah tensions rise - アラブニュース</t>
        </is>
      </c>
      <c r="N51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18" t="inlineStr">
        <is>
          <t>Middle East latest: Attacks on ships transiting Hormuz in October highest since start of war - The National</t>
        </is>
      </c>
      <c r="P518" t="inlineStr">
        <is>
          <t>https://news.google.com/rss/articles/CBMijAFBVV95cUxQVzF0OTFEeDd6NkxQYjVkWnpCRmQ1cEtKaVJZNWdaaDFySGVQOHY4cklQUXhQSUMxNjRXRFpjcFZhTFBud0ZyQmp4SlM5OGxqY3YtNzRTdGczNXVDRnpKRWJrN1A1TnZaY0pEVEkxRUJCZWtaS1dYT3llWnZIZGswajFiWXZveGhnUFpFZg?oc=5</t>
        </is>
      </c>
      <c r="Q518" t="inlineStr">
        <is>
          <t>vader</t>
        </is>
      </c>
      <c r="R518" t="inlineStr">
        <is>
          <t>Two Palestinians killed in Israeli ceasefire violations in Gaza - Yeni Şafak English</t>
        </is>
      </c>
      <c r="S518" t="inlineStr">
        <is>
          <t>https://news.google.com/rss/articles/CBMipAFBVV95cUxOckJJU3Z3Q2xIM212Z0daU0NBREx1aXp2VnZOcDNyRWRFTHhQcWFvLWJtWkk3WGxzTUhTNTNpcDQ5S2xzZFJKeXdSVk5BMWJEUG1SN0xDVjhlQW5MRTdPelh0RnBIQ2l2UHBGVy1lcDZhcWp2RF9lSjNaNFlrYk1DcEZHVndZZjFNUGIzZHNXMnBiT3gxTzhoOG9ENmFKOWtFSnhpNQ?oc=5</t>
        </is>
      </c>
      <c r="T518" t="inlineStr">
        <is>
          <t>Gaza: 340 children killed despite ceasefire agreement - UNICEF - UN News</t>
        </is>
      </c>
      <c r="U518" t="inlineStr">
        <is>
          <t>https://news.google.com/rss/articles/CBMiV0FVX3lxTE94N19hcVhoa1F6QW9pZ3R2eEZBWnpJN1RHTjczS28yZFIyQ183VnI5RlBxZFk2a0tTVkszOWNXOG11dVZDZEhhd3JYUjh3dUI0Mk85eEpTNA?oc=5</t>
        </is>
      </c>
      <c r="V518" t="inlineStr">
        <is>
          <t>JD Vance contacts senior Iranian official in bid to revive peace talks - Euronews.com</t>
        </is>
      </c>
      <c r="W518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</row>
    <row r="519">
      <c r="A519" t="inlineStr">
        <is>
          <t>2026-10-31T14:30:20+00:00</t>
        </is>
      </c>
      <c r="B519" t="inlineStr">
        <is>
          <t>2026-10-31</t>
        </is>
      </c>
      <c r="C519" t="inlineStr">
        <is>
          <t>Macroeconomic Interventions</t>
        </is>
      </c>
      <c r="D519" t="n">
        <v>40</v>
      </c>
      <c r="E519" t="n">
        <v>0.472</v>
      </c>
      <c r="F519" t="n">
        <v>0.03</v>
      </c>
      <c r="G519" t="n">
        <v>32</v>
      </c>
      <c r="H519" t="n">
        <v>0.435</v>
      </c>
      <c r="I519" t="n">
        <v>0.091</v>
      </c>
      <c r="J519" t="n">
        <v>-12.412</v>
      </c>
      <c r="K519" t="inlineStr">
        <is>
          <t>Bitcoin posts surprise rally as currency nears $70,000 for the first time since June - Fortune</t>
        </is>
      </c>
      <c r="L5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9" t="inlineStr">
        <is>
          <t>What the US-Japan Currency Intervention Means for the Yen, Rates, and the Dollar - Goldman Sachs</t>
        </is>
      </c>
      <c r="N51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19" t="inlineStr">
        <is>
          <t>Ahead of Market: 10 things that will decide stock market action on Friday - inkl</t>
        </is>
      </c>
      <c r="P519" t="inlineStr">
        <is>
          <t>https://news.google.com/rss/articles/CBMiqwFBVV95cUxNSHVSakphTmZnaTlUX1g0NWNxMmdPQWlaZDFXQ3ZvSENPM1dhaDk4ZzVpNUpnNmtldVdiYnlvOHhneVJaN0pJMkhrbFpNWUxNTHh6S21pdlNUZW9uNGZPRTZSVG1uOWpkSzJCbzBUT2RLTHUzVHROQjBCSzl5UmNrcTNKbjNzUXkyeHNXNlNlci1GRFBsMEwxdmtNRWo0WWhVMmVfZ0JiTTg3MHM?oc=5</t>
        </is>
      </c>
      <c r="Q519" t="inlineStr">
        <is>
          <t>finbert</t>
        </is>
      </c>
      <c r="R519" t="inlineStr">
        <is>
          <t>BOJ declares victory in hitting price target, signals near-term hikes - Reuters</t>
        </is>
      </c>
      <c r="S519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9" t="inlineStr">
        <is>
          <t>Ueda Speech: BoJ Governor discusses policy outlook after the expected interest rate hold - FXStreet</t>
        </is>
      </c>
      <c r="U519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9" t="inlineStr">
        <is>
          <t>Fed Holds Rates as Interest Costs on the National Debt Top $1 Trillion - Peter G. Peterson Foundation</t>
        </is>
      </c>
      <c r="W519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20">
      <c r="A520" t="inlineStr">
        <is>
          <t>2026-10-31T14:30:20+00:00</t>
        </is>
      </c>
      <c r="B520" t="inlineStr">
        <is>
          <t>2026-10-31</t>
        </is>
      </c>
      <c r="C520" t="inlineStr">
        <is>
          <t>Trade Wars &amp; Escalations</t>
        </is>
      </c>
      <c r="D520" t="n">
        <v>40</v>
      </c>
      <c r="E520" t="n">
        <v>0.482</v>
      </c>
      <c r="F520" t="n">
        <v>-0.175</v>
      </c>
      <c r="G520" t="n">
        <v>31</v>
      </c>
      <c r="H520" t="n">
        <v>0.858</v>
      </c>
      <c r="I520" t="n">
        <v>0.118</v>
      </c>
      <c r="J520" t="n">
        <v>6.162</v>
      </c>
      <c r="K520" t="inlineStr">
        <is>
          <t>Trump escalates trade war with Canada, moving to ban imports of some motorcycles, dairy and alcohol - NBC News</t>
        </is>
      </c>
      <c r="L52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20" t="inlineStr">
        <is>
          <t>CBP program secures supply chains to better protect the border - Federal News Network</t>
        </is>
      </c>
      <c r="N520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20" t="inlineStr">
        <is>
          <t>Beijing threatens retaliation if UK follows EU in restricting Chinese EVs - Automotive News</t>
        </is>
      </c>
      <c r="P52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20" t="inlineStr">
        <is>
          <t>vader</t>
        </is>
      </c>
      <c r="R520" t="inlineStr">
        <is>
          <t>BD Wins Tariff Relief Through Manufacturing Pact - Medical Device and Diagnostic industry</t>
        </is>
      </c>
      <c r="S52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20" t="inlineStr">
        <is>
          <t>Trump welcomes Xi to Washington as US, China agree to extend trade truce - Al Jazeera</t>
        </is>
      </c>
      <c r="U5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520" t="inlineStr">
        <is>
          <t>China says it hopes to agree with the US on tariff reductions at ‘an early date’ - AP News</t>
        </is>
      </c>
      <c r="W52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21">
      <c r="A521" t="inlineStr">
        <is>
          <t>2026-10-31T19:54:03+00:00</t>
        </is>
      </c>
      <c r="B521" t="inlineStr">
        <is>
          <t>2026-10-31</t>
        </is>
      </c>
      <c r="C521" t="inlineStr">
        <is>
          <t>Middle East Oil Risk</t>
        </is>
      </c>
      <c r="D521" t="n">
        <v>45</v>
      </c>
      <c r="E521" t="n">
        <v>0.554</v>
      </c>
      <c r="F521" t="n">
        <v>-0.416</v>
      </c>
      <c r="G521" t="n">
        <v>32</v>
      </c>
      <c r="H521" t="n">
        <v>0.763</v>
      </c>
      <c r="I521" t="n">
        <v>0.011</v>
      </c>
      <c r="J521" t="n">
        <v>15.686</v>
      </c>
      <c r="K521" t="inlineStr">
        <is>
          <t>Iran’s Strategy After the War: Hormuz, Gulf Tensions and the Risk of Another Conflict - Modern Diplomacy</t>
        </is>
      </c>
      <c r="L521" t="inlineStr">
        <is>
          <t>https://news.google.com/rss/articles/CBMivgFBVV95cUxNRll6ZTlLd2EyWVdSRkdiNDk3QzVtQVhVaUtkX0JBQ2MzTDQxcHplU0gyLXBDQlVfUjRlR3QwSlBuY1dORzFiNlRaQkFmVGJrNk5rQjBFdlEyeHhpbzBUY0xibC05TXlHTENpUXlsYkh2S0VsaUduSGlGRDJQSVlUbGR4MkN1YlMzR2luQVgyZjQtcFZPUkt6UnRZZjdVeWUyT0ZKTzNzSzVMNlVTOUpVazRmRjV2THFIZGEwMkVn?oc=5</t>
        </is>
      </c>
      <c r="M521" t="inlineStr">
        <is>
          <t>Israel-Hezbollah clashes kill 11 as Mideast conflict escalation gathers pace after U.S.-Iran strikes - CNBC</t>
        </is>
      </c>
      <c r="N5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21" t="inlineStr">
        <is>
          <t>Israeli strikes in southern Lebanese village kill 12 - BBC</t>
        </is>
      </c>
      <c r="P521" t="inlineStr">
        <is>
          <t>https://news.google.com/rss/articles/CBMiWkFVX3lxTFBkeHo4dnBmNnFsLXpHaUU2czN0MG52bTBadUNFVlNWTTExWWFTanpTZnp3YS1QVEFsVkVPYWREVFRhRVBvY3NwcV9kakJ5clVhb2VtUjhMNzlTZw?oc=5</t>
        </is>
      </c>
      <c r="Q521" t="inlineStr">
        <is>
          <t>vader</t>
        </is>
      </c>
      <c r="R521" t="inlineStr">
        <is>
          <t>Two Palestinians killed in Israeli ceasefire violations in Gaza - Yeni Şafak English</t>
        </is>
      </c>
      <c r="S521" t="inlineStr">
        <is>
          <t>https://news.google.com/rss/articles/CBMipAFBVV95cUxOckJJU3Z3Q2xIM212Z0daU0NBREx1aXp2VnZOcDNyRWRFTHhQcWFvLWJtWkk3WGxzTUhTNTNpcDQ5S2xzZFJKeXdSVk5BMWJEUG1SN0xDVjhlQW5MRTdPelh0RnBIQ2l2UHBGVy1lcDZhcWp2RF9lSjNaNFlrYk1DcEZHVndZZjFNUGIzZHNXMnBiT3gxTzhoOG9ENmFKOWtFSnhpNQ?oc=5</t>
        </is>
      </c>
      <c r="T521" t="inlineStr">
        <is>
          <t>Iranian envoys meet Qatari mediators as threat looms of US strikes after midterms - Reuters</t>
        </is>
      </c>
      <c r="U521" t="inlineStr">
        <is>
          <t>https://news.google.com/rss/articles/CBMiyAFBVV95cUxOODBHZGo0TEhURWc2Rm9nLUJjaF9Hb09YLUpnU3JlTWJ0OHJKd3p0dFZEYWdpYUNPVlNJdFJoYXhGOVdOX29rdHhjQ2F0c2E2VjJRQndHcEtSY1JIdEFzTkJJd3RKX2lKYWxRMnRQYjZvVnpxNnJQTlBmUFY5TWMzZTJ4akRuS1pKNExQY2lCQTAzRVlWOG4wYnZRVV9tRWJQdDJKQ0owZVdZUS1ZQmZYbTlMR0xxbF9uZ3ZvWkRNNDJtX0JNclZhLQ?oc=5</t>
        </is>
      </c>
      <c r="V521" t="inlineStr">
        <is>
          <t>JD Vance contacts senior Iranian official in bid to revive peace talks - Euronews.com</t>
        </is>
      </c>
      <c r="W521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</row>
    <row r="522">
      <c r="A522" t="inlineStr">
        <is>
          <t>2026-10-31T19:54:03+00:00</t>
        </is>
      </c>
      <c r="B522" t="inlineStr">
        <is>
          <t>2026-10-31</t>
        </is>
      </c>
      <c r="C522" t="inlineStr">
        <is>
          <t>Macroeconomic Interventions</t>
        </is>
      </c>
      <c r="D522" t="n">
        <v>40</v>
      </c>
      <c r="E522" t="n">
        <v>0.506</v>
      </c>
      <c r="F522" t="n">
        <v>0.016</v>
      </c>
      <c r="G522" t="n">
        <v>32</v>
      </c>
      <c r="H522" t="n">
        <v>0.404</v>
      </c>
      <c r="I522" t="n">
        <v>0.111</v>
      </c>
      <c r="J522" t="n">
        <v>-12.579</v>
      </c>
      <c r="K522" t="inlineStr">
        <is>
          <t>Bitcoin posts surprise rally as currency nears $70,000 for the first time since June - Fortune</t>
        </is>
      </c>
      <c r="L5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22" t="inlineStr">
        <is>
          <t>UAE injects $8bn into banking system as liquidity falls - TheBanker.com</t>
        </is>
      </c>
      <c r="N5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22" t="inlineStr">
        <is>
          <t>What the US-Japan Currency Intervention Means for the Yen, Rates, and the Dollar - Goldman Sachs</t>
        </is>
      </c>
      <c r="P52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522" t="inlineStr">
        <is>
          <t>finbert</t>
        </is>
      </c>
      <c r="R522" t="inlineStr">
        <is>
          <t>U.S. Real Estate Stocks Outperform as Treasury Yields Fall in October - www.tokenpost.com</t>
        </is>
      </c>
      <c r="S522" t="inlineStr">
        <is>
          <t>https://news.google.com/rss/articles/CBMiWkFVX3lxTFBQci1mWk4tLVlibTN2WVVsT1A0ajI0d0xDT0hwR1V2ZTcwcnRyemR4dTlYdWRRQ2oxMU1oZXpZYWxkaGRjb0k1VFEzS1dIUDh4QUlxUS1xLVpYdw?oc=5</t>
        </is>
      </c>
      <c r="T522" t="inlineStr">
        <is>
          <t>BOJ declares victory in hitting price target, signals near-term hikes - Reuters</t>
        </is>
      </c>
      <c r="U522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V522" t="inlineStr">
        <is>
          <t>Ueda Speech: BoJ Governor discusses policy outlook after the expected interest rate hold - FXStreet</t>
        </is>
      </c>
      <c r="W522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</row>
    <row r="523">
      <c r="A523" t="inlineStr">
        <is>
          <t>2026-10-31T19:54:03+00:00</t>
        </is>
      </c>
      <c r="B523" t="inlineStr">
        <is>
          <t>2026-10-31</t>
        </is>
      </c>
      <c r="C523" t="inlineStr">
        <is>
          <t>Trade Wars &amp; Escalations</t>
        </is>
      </c>
      <c r="D523" t="n">
        <v>40</v>
      </c>
      <c r="E523" t="n">
        <v>0.643</v>
      </c>
      <c r="F523" t="n">
        <v>-0.229</v>
      </c>
      <c r="G523" t="n">
        <v>31</v>
      </c>
      <c r="H523" t="n">
        <v>0.832</v>
      </c>
      <c r="I523" t="n">
        <v>0.145</v>
      </c>
      <c r="J523" t="n">
        <v>6.846</v>
      </c>
      <c r="K523" t="inlineStr">
        <is>
          <t>Trump escalates trade war with Canada, moving to ban imports of some motorcycles, dairy and alcohol - NBC News</t>
        </is>
      </c>
      <c r="L52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23" t="inlineStr">
        <is>
          <t>Trade War Escalation Deepens Uncertainty for Canadian Economy - Morningstar</t>
        </is>
      </c>
      <c r="N523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23" t="inlineStr">
        <is>
          <t>Beijing threatens retaliation if UK follows EU in restricting Chinese EVs - Automotive News</t>
        </is>
      </c>
      <c r="P523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23" t="inlineStr">
        <is>
          <t>vader</t>
        </is>
      </c>
      <c r="R523" t="inlineStr">
        <is>
          <t>BD Wins Tariff Relief Through Manufacturing Pact - Medical Device and Diagnostic industry</t>
        </is>
      </c>
      <c r="S52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23" t="inlineStr">
        <is>
          <t>Trump welcomes Xi to Washington as US, China agree to extend trade truce - Al Jazeera</t>
        </is>
      </c>
      <c r="U5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523" t="inlineStr">
        <is>
          <t>China says it hopes to agree with the US on tariff reductions at ‘an early date’ - AP News</t>
        </is>
      </c>
      <c r="W52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2026-10-29</t>
        </is>
      </c>
      <c r="B48" t="inlineStr">
        <is>
          <t>Macroeconomic Interventions</t>
        </is>
      </c>
      <c r="C48" t="n">
        <v>120</v>
      </c>
      <c r="D48" t="n">
        <v>96</v>
      </c>
      <c r="E48" t="n">
        <v>-10.316</v>
      </c>
      <c r="F48">
        <f>IF(B47=B48, IFERROR((E48-E47)/ABS(E47), "n/a"), "")</f>
        <v/>
      </c>
    </row>
    <row r="49">
      <c r="A49" t="inlineStr">
        <is>
          <t>2026-10-30</t>
        </is>
      </c>
      <c r="B49" t="inlineStr">
        <is>
          <t>Macroeconomic Interventions</t>
        </is>
      </c>
      <c r="C49" t="n">
        <v>120</v>
      </c>
      <c r="D49" t="n">
        <v>96</v>
      </c>
      <c r="E49" t="n">
        <v>-8.973000000000001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Middle East Oil Risk</t>
        </is>
      </c>
      <c r="C50" t="n">
        <v>234</v>
      </c>
      <c r="D50" t="n">
        <v>155</v>
      </c>
      <c r="E50" t="n">
        <v>7.073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Middle East Oil Risk</t>
        </is>
      </c>
      <c r="C51" t="n">
        <v>137</v>
      </c>
      <c r="D51" t="n">
        <v>96</v>
      </c>
      <c r="E51" t="n">
        <v>21.06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Middle East Oil Risk</t>
        </is>
      </c>
      <c r="C52" t="n">
        <v>186</v>
      </c>
      <c r="D52" t="n">
        <v>120</v>
      </c>
      <c r="E52" t="n">
        <v>22.642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Middle East Oil Risk</t>
        </is>
      </c>
      <c r="C53" t="n">
        <v>190</v>
      </c>
      <c r="D53" t="n">
        <v>128</v>
      </c>
      <c r="E53" t="n">
        <v>20.494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Middle East Oil Risk</t>
        </is>
      </c>
      <c r="C54" t="n">
        <v>192</v>
      </c>
      <c r="D54" t="n">
        <v>128</v>
      </c>
      <c r="E54" t="n">
        <v>20.948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Middle East Oil Risk</t>
        </is>
      </c>
      <c r="C55" t="n">
        <v>189</v>
      </c>
      <c r="D55" t="n">
        <v>125</v>
      </c>
      <c r="E55" t="n">
        <v>20.675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Middle East Oil Risk</t>
        </is>
      </c>
      <c r="C56" t="n">
        <v>187</v>
      </c>
      <c r="D56" t="n">
        <v>128</v>
      </c>
      <c r="E56" t="n">
        <v>19.45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Middle East Oil Risk</t>
        </is>
      </c>
      <c r="C57" t="n">
        <v>190</v>
      </c>
      <c r="D57" t="n">
        <v>127</v>
      </c>
      <c r="E57" t="n">
        <v>18.638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Middle East Oil Risk</t>
        </is>
      </c>
      <c r="C58" t="n">
        <v>142</v>
      </c>
      <c r="D58" t="n">
        <v>95</v>
      </c>
      <c r="E58" t="n">
        <v>19.744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Middle East Oil Risk</t>
        </is>
      </c>
      <c r="C59" t="n">
        <v>186</v>
      </c>
      <c r="D59" t="n">
        <v>128</v>
      </c>
      <c r="E59" t="n">
        <v>18.521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Middle East Oil Risk</t>
        </is>
      </c>
      <c r="C60" t="n">
        <v>189</v>
      </c>
      <c r="D60" t="n">
        <v>128</v>
      </c>
      <c r="E60" t="n">
        <v>19.348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Middle East Oil Risk</t>
        </is>
      </c>
      <c r="C61" t="n">
        <v>191</v>
      </c>
      <c r="D61" t="n">
        <v>128</v>
      </c>
      <c r="E61" t="n">
        <v>18.798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Middle East Oil Risk</t>
        </is>
      </c>
      <c r="C62" t="n">
        <v>191</v>
      </c>
      <c r="D62" t="n">
        <v>127</v>
      </c>
      <c r="E62" t="n">
        <v>18.42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Middle East Oil Risk</t>
        </is>
      </c>
      <c r="C63" t="n">
        <v>192</v>
      </c>
      <c r="D63" t="n">
        <v>125</v>
      </c>
      <c r="E63" t="n">
        <v>18.747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Middle East Oil Risk</t>
        </is>
      </c>
      <c r="C64" t="n">
        <v>191</v>
      </c>
      <c r="D64" t="n">
        <v>120</v>
      </c>
      <c r="E64" t="n">
        <v>19.726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Middle East Oil Risk</t>
        </is>
      </c>
      <c r="C65" t="n">
        <v>48</v>
      </c>
      <c r="D65" t="n">
        <v>29</v>
      </c>
      <c r="E65" t="n">
        <v>9.458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Middle East Oil Risk</t>
        </is>
      </c>
      <c r="C66" t="n">
        <v>192</v>
      </c>
      <c r="D66" t="n">
        <v>118</v>
      </c>
      <c r="E66" t="n">
        <v>19.082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Middle East Oil Risk</t>
        </is>
      </c>
      <c r="C67" t="n">
        <v>143</v>
      </c>
      <c r="D67" t="n">
        <v>85</v>
      </c>
      <c r="E67" t="n">
        <v>21.135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Middle East Oil Risk</t>
        </is>
      </c>
      <c r="C68" t="n">
        <v>144</v>
      </c>
      <c r="D68" t="n">
        <v>85</v>
      </c>
      <c r="E68" t="n">
        <v>20.801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Middle East Oil Risk</t>
        </is>
      </c>
      <c r="C69" t="n">
        <v>142</v>
      </c>
      <c r="D69" t="n">
        <v>88</v>
      </c>
      <c r="E69" t="n">
        <v>18.71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Middle East Oil Risk</t>
        </is>
      </c>
      <c r="C70" t="n">
        <v>191</v>
      </c>
      <c r="D70" t="n">
        <v>124</v>
      </c>
      <c r="E70" t="n">
        <v>18.554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Middle East Oil Risk</t>
        </is>
      </c>
      <c r="C71" t="n">
        <v>188</v>
      </c>
      <c r="D71" t="n">
        <v>128</v>
      </c>
      <c r="E71" t="n">
        <v>18.978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Middle East Oil Risk</t>
        </is>
      </c>
      <c r="C72" t="n">
        <v>92</v>
      </c>
      <c r="D72" t="n">
        <v>64</v>
      </c>
      <c r="E72" t="n">
        <v>20.275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Middle East Oil Risk</t>
        </is>
      </c>
      <c r="C73" t="n">
        <v>183</v>
      </c>
      <c r="D73" t="n">
        <v>128</v>
      </c>
      <c r="E73" t="n">
        <v>17.658</v>
      </c>
      <c r="F73">
        <f>IF(B72=B73, IFERROR((E73-E72)/ABS(E72), "n/a"), "")</f>
        <v/>
      </c>
    </row>
    <row r="74">
      <c r="A74" t="inlineStr">
        <is>
          <t>2026-10-07</t>
        </is>
      </c>
      <c r="B74" t="inlineStr">
        <is>
          <t>Middle East Oil Risk</t>
        </is>
      </c>
      <c r="C74" t="n">
        <v>139</v>
      </c>
      <c r="D74" t="n">
        <v>96</v>
      </c>
      <c r="E74" t="n">
        <v>17.221</v>
      </c>
      <c r="F74">
        <f>IF(B73=B74, IFERROR((E74-E73)/ABS(E73), "n/a"), "")</f>
        <v/>
      </c>
    </row>
    <row r="75">
      <c r="A75" t="inlineStr">
        <is>
          <t>2026-10-08</t>
        </is>
      </c>
      <c r="B75" t="inlineStr">
        <is>
          <t>Middle East Oil Risk</t>
        </is>
      </c>
      <c r="C75" t="n">
        <v>135</v>
      </c>
      <c r="D75" t="n">
        <v>91</v>
      </c>
      <c r="E75" t="n">
        <v>16.845</v>
      </c>
      <c r="F75">
        <f>IF(B74=B75, IFERROR((E75-E74)/ABS(E74), "n/a"), "")</f>
        <v/>
      </c>
    </row>
    <row r="76">
      <c r="A76" t="inlineStr">
        <is>
          <t>2026-10-09</t>
        </is>
      </c>
      <c r="B76" t="inlineStr">
        <is>
          <t>Middle East Oil Risk</t>
        </is>
      </c>
      <c r="C76" t="n">
        <v>138</v>
      </c>
      <c r="D76" t="n">
        <v>92</v>
      </c>
      <c r="E76" t="n">
        <v>16.708</v>
      </c>
      <c r="F76">
        <f>IF(B75=B76, IFERROR((E76-E75)/ABS(E75), "n/a"), "")</f>
        <v/>
      </c>
    </row>
    <row r="77">
      <c r="A77" t="inlineStr">
        <is>
          <t>2026-10-10</t>
        </is>
      </c>
      <c r="B77" t="inlineStr">
        <is>
          <t>Middle East Oil Risk</t>
        </is>
      </c>
      <c r="C77" t="n">
        <v>185</v>
      </c>
      <c r="D77" t="n">
        <v>125</v>
      </c>
      <c r="E77" t="n">
        <v>18.268</v>
      </c>
      <c r="F77">
        <f>IF(B76=B77, IFERROR((E77-E76)/ABS(E76), "n/a"), "")</f>
        <v/>
      </c>
    </row>
    <row r="78">
      <c r="A78" t="inlineStr">
        <is>
          <t>2026-10-11</t>
        </is>
      </c>
      <c r="B78" t="inlineStr">
        <is>
          <t>Middle East Oil Risk</t>
        </is>
      </c>
      <c r="C78" t="n">
        <v>140</v>
      </c>
      <c r="D78" t="n">
        <v>96</v>
      </c>
      <c r="E78" t="n">
        <v>19.833</v>
      </c>
      <c r="F78">
        <f>IF(B77=B78, IFERROR((E78-E77)/ABS(E77), "n/a"), "")</f>
        <v/>
      </c>
    </row>
    <row r="79">
      <c r="A79" t="inlineStr">
        <is>
          <t>2026-10-12</t>
        </is>
      </c>
      <c r="B79" t="inlineStr">
        <is>
          <t>Middle East Oil Risk</t>
        </is>
      </c>
      <c r="C79" t="n">
        <v>92</v>
      </c>
      <c r="D79" t="n">
        <v>64</v>
      </c>
      <c r="E79" t="n">
        <v>18.099</v>
      </c>
      <c r="F79">
        <f>IF(B78=B79, IFERROR((E79-E78)/ABS(E78), "n/a"), "")</f>
        <v/>
      </c>
    </row>
    <row r="80">
      <c r="A80" t="inlineStr">
        <is>
          <t>2026-10-13</t>
        </is>
      </c>
      <c r="B80" t="inlineStr">
        <is>
          <t>Middle East Oil Risk</t>
        </is>
      </c>
      <c r="C80" t="n">
        <v>182</v>
      </c>
      <c r="D80" t="n">
        <v>128</v>
      </c>
      <c r="E80" t="n">
        <v>17.736</v>
      </c>
      <c r="F80">
        <f>IF(B79=B80, IFERROR((E80-E79)/ABS(E79), "n/a"), "")</f>
        <v/>
      </c>
    </row>
    <row r="81">
      <c r="A81" t="inlineStr">
        <is>
          <t>2026-10-14</t>
        </is>
      </c>
      <c r="B81" t="inlineStr">
        <is>
          <t>Middle East Oil Risk</t>
        </is>
      </c>
      <c r="C81" t="n">
        <v>139</v>
      </c>
      <c r="D81" t="n">
        <v>95</v>
      </c>
      <c r="E81" t="n">
        <v>17.777</v>
      </c>
      <c r="F81">
        <f>IF(B80=B81, IFERROR((E81-E80)/ABS(E80), "n/a"), "")</f>
        <v/>
      </c>
    </row>
    <row r="82">
      <c r="A82" t="inlineStr">
        <is>
          <t>2026-10-15</t>
        </is>
      </c>
      <c r="B82" t="inlineStr">
        <is>
          <t>Middle East Oil Risk</t>
        </is>
      </c>
      <c r="C82" t="n">
        <v>187</v>
      </c>
      <c r="D82" t="n">
        <v>127</v>
      </c>
      <c r="E82" t="n">
        <v>16.99</v>
      </c>
      <c r="F82">
        <f>IF(B81=B82, IFERROR((E82-E81)/ABS(E81), "n/a"), "")</f>
        <v/>
      </c>
    </row>
    <row r="83">
      <c r="A83" t="inlineStr">
        <is>
          <t>2026-10-16</t>
        </is>
      </c>
      <c r="B83" t="inlineStr">
        <is>
          <t>Middle East Oil Risk</t>
        </is>
      </c>
      <c r="C83" t="n">
        <v>189</v>
      </c>
      <c r="D83" t="n">
        <v>128</v>
      </c>
      <c r="E83" t="n">
        <v>17.77</v>
      </c>
      <c r="F83">
        <f>IF(B82=B83, IFERROR((E83-E82)/ABS(E82), "n/a"), "")</f>
        <v/>
      </c>
    </row>
    <row r="84">
      <c r="A84" t="inlineStr">
        <is>
          <t>2026-10-17</t>
        </is>
      </c>
      <c r="B84" t="inlineStr">
        <is>
          <t>Middle East Oil Risk</t>
        </is>
      </c>
      <c r="C84" t="n">
        <v>191</v>
      </c>
      <c r="D84" t="n">
        <v>128</v>
      </c>
      <c r="E84" t="n">
        <v>17.474</v>
      </c>
      <c r="F84">
        <f>IF(B83=B84, IFERROR((E84-E83)/ABS(E83), "n/a"), "")</f>
        <v/>
      </c>
    </row>
    <row r="85">
      <c r="A85" t="inlineStr">
        <is>
          <t>2026-10-18</t>
        </is>
      </c>
      <c r="B85" t="inlineStr">
        <is>
          <t>Middle East Oil Risk</t>
        </is>
      </c>
      <c r="C85" t="n">
        <v>190</v>
      </c>
      <c r="D85" t="n">
        <v>128</v>
      </c>
      <c r="E85" t="n">
        <v>19.304</v>
      </c>
      <c r="F85">
        <f>IF(B84=B85, IFERROR((E85-E84)/ABS(E84), "n/a"), "")</f>
        <v/>
      </c>
    </row>
    <row r="86">
      <c r="A86" t="inlineStr">
        <is>
          <t>2026-10-19</t>
        </is>
      </c>
      <c r="B86" t="inlineStr">
        <is>
          <t>Middle East Oil Risk</t>
        </is>
      </c>
      <c r="C86" t="n">
        <v>142</v>
      </c>
      <c r="D86" t="n">
        <v>96</v>
      </c>
      <c r="E86" t="n">
        <v>18.242</v>
      </c>
      <c r="F86">
        <f>IF(B85=B86, IFERROR((E86-E85)/ABS(E85), "n/a"), "")</f>
        <v/>
      </c>
    </row>
    <row r="87">
      <c r="A87" t="inlineStr">
        <is>
          <t>2026-10-20</t>
        </is>
      </c>
      <c r="B87" t="inlineStr">
        <is>
          <t>Middle East Oil Risk</t>
        </is>
      </c>
      <c r="C87" t="n">
        <v>188</v>
      </c>
      <c r="D87" t="n">
        <v>128</v>
      </c>
      <c r="E87" t="n">
        <v>20.936</v>
      </c>
      <c r="F87">
        <f>IF(B86=B87, IFERROR((E87-E86)/ABS(E86), "n/a"), "")</f>
        <v/>
      </c>
    </row>
    <row r="88">
      <c r="A88" t="inlineStr">
        <is>
          <t>2026-10-21</t>
        </is>
      </c>
      <c r="B88" t="inlineStr">
        <is>
          <t>Middle East Oil Risk</t>
        </is>
      </c>
      <c r="C88" t="n">
        <v>189</v>
      </c>
      <c r="D88" t="n">
        <v>128</v>
      </c>
      <c r="E88" t="n">
        <v>19.311</v>
      </c>
      <c r="F88">
        <f>IF(B87=B88, IFERROR((E88-E87)/ABS(E87), "n/a"), "")</f>
        <v/>
      </c>
    </row>
    <row r="89">
      <c r="A89" t="inlineStr">
        <is>
          <t>2026-10-22</t>
        </is>
      </c>
      <c r="B89" t="inlineStr">
        <is>
          <t>Middle East Oil Risk</t>
        </is>
      </c>
      <c r="C89" t="n">
        <v>187</v>
      </c>
      <c r="D89" t="n">
        <v>125</v>
      </c>
      <c r="E89" t="n">
        <v>19.432</v>
      </c>
      <c r="F89">
        <f>IF(B88=B89, IFERROR((E89-E88)/ABS(E88), "n/a"), "")</f>
        <v/>
      </c>
    </row>
    <row r="90">
      <c r="A90" t="inlineStr">
        <is>
          <t>2026-10-23</t>
        </is>
      </c>
      <c r="B90" t="inlineStr">
        <is>
          <t>Middle East Oil Risk</t>
        </is>
      </c>
      <c r="C90" t="n">
        <v>178</v>
      </c>
      <c r="D90" t="n">
        <v>125</v>
      </c>
      <c r="E90" t="n">
        <v>17.958</v>
      </c>
      <c r="F90">
        <f>IF(B89=B90, IFERROR((E90-E89)/ABS(E89), "n/a"), "")</f>
        <v/>
      </c>
    </row>
    <row r="91">
      <c r="A91" t="inlineStr">
        <is>
          <t>2026-10-24</t>
        </is>
      </c>
      <c r="B91" t="inlineStr">
        <is>
          <t>Middle East Oil Risk</t>
        </is>
      </c>
      <c r="C91" t="n">
        <v>187</v>
      </c>
      <c r="D91" t="n">
        <v>127</v>
      </c>
      <c r="E91" t="n">
        <v>19.587</v>
      </c>
      <c r="F91">
        <f>IF(B90=B91, IFERROR((E91-E90)/ABS(E90), "n/a"), "")</f>
        <v/>
      </c>
    </row>
    <row r="92">
      <c r="A92" t="inlineStr">
        <is>
          <t>2026-10-25</t>
        </is>
      </c>
      <c r="B92" t="inlineStr">
        <is>
          <t>Middle East Oil Risk</t>
        </is>
      </c>
      <c r="C92" t="n">
        <v>188</v>
      </c>
      <c r="D92" t="n">
        <v>128</v>
      </c>
      <c r="E92" t="n">
        <v>19.952</v>
      </c>
      <c r="F92">
        <f>IF(B91=B92, IFERROR((E92-E91)/ABS(E91), "n/a"), "")</f>
        <v/>
      </c>
    </row>
    <row r="93">
      <c r="A93" t="inlineStr">
        <is>
          <t>2026-10-26</t>
        </is>
      </c>
      <c r="B93" t="inlineStr">
        <is>
          <t>Middle East Oil Risk</t>
        </is>
      </c>
      <c r="C93" t="n">
        <v>138</v>
      </c>
      <c r="D93" t="n">
        <v>96</v>
      </c>
      <c r="E93" t="n">
        <v>18.718</v>
      </c>
      <c r="F93">
        <f>IF(B92=B93, IFERROR((E93-E92)/ABS(E92), "n/a"), "")</f>
        <v/>
      </c>
    </row>
    <row r="94">
      <c r="A94" t="inlineStr">
        <is>
          <t>2026-10-27</t>
        </is>
      </c>
      <c r="B94" t="inlineStr">
        <is>
          <t>Middle East Oil Risk</t>
        </is>
      </c>
      <c r="C94" t="n">
        <v>138</v>
      </c>
      <c r="D94" t="n">
        <v>95</v>
      </c>
      <c r="E94" t="n">
        <v>17.243</v>
      </c>
      <c r="F94">
        <f>IF(B93=B94, IFERROR((E94-E93)/ABS(E93), "n/a"), "")</f>
        <v/>
      </c>
    </row>
    <row r="95">
      <c r="A95" t="inlineStr">
        <is>
          <t>2026-10-28</t>
        </is>
      </c>
      <c r="B95" t="inlineStr">
        <is>
          <t>Middle East Oil Risk</t>
        </is>
      </c>
      <c r="C95" t="n">
        <v>138</v>
      </c>
      <c r="D95" t="n">
        <v>96</v>
      </c>
      <c r="E95" t="n">
        <v>16.261</v>
      </c>
      <c r="F95">
        <f>IF(B94=B95, IFERROR((E95-E94)/ABS(E94), "n/a"), "")</f>
        <v/>
      </c>
    </row>
    <row r="96">
      <c r="A96" t="inlineStr">
        <is>
          <t>2026-10-29</t>
        </is>
      </c>
      <c r="B96" t="inlineStr">
        <is>
          <t>Middle East Oil Risk</t>
        </is>
      </c>
      <c r="C96" t="n">
        <v>139</v>
      </c>
      <c r="D96" t="n">
        <v>95</v>
      </c>
      <c r="E96" t="n">
        <v>16.491</v>
      </c>
      <c r="F96">
        <f>IF(B95=B96, IFERROR((E96-E95)/ABS(E95), "n/a"), "")</f>
        <v/>
      </c>
    </row>
    <row r="97">
      <c r="A97" t="inlineStr">
        <is>
          <t>2026-10-30</t>
        </is>
      </c>
      <c r="B97" t="inlineStr">
        <is>
          <t>Middle East Oil Risk</t>
        </is>
      </c>
      <c r="C97" t="n">
        <v>141</v>
      </c>
      <c r="D97" t="n">
        <v>96</v>
      </c>
      <c r="E97" t="n">
        <v>14.64</v>
      </c>
      <c r="F97">
        <f>IF(B96=B97, IFERROR((E97-E96)/ABS(E96), "n/a"), "")</f>
        <v/>
      </c>
    </row>
    <row r="98">
      <c r="A98" t="inlineStr">
        <is>
          <t>2026-09-13</t>
        </is>
      </c>
      <c r="B98" t="inlineStr">
        <is>
          <t>Trade Wars &amp; Escalations</t>
        </is>
      </c>
      <c r="C98" t="n">
        <v>200</v>
      </c>
      <c r="D98" t="n">
        <v>160</v>
      </c>
      <c r="E98" t="n">
        <v>-2.614</v>
      </c>
      <c r="F98">
        <f>IF(B97=B98, IFERROR((E98-E97)/ABS(E97), "n/a"), "")</f>
        <v/>
      </c>
    </row>
    <row r="99">
      <c r="A99" t="inlineStr">
        <is>
          <t>2026-09-14</t>
        </is>
      </c>
      <c r="B99" t="inlineStr">
        <is>
          <t>Trade Wars &amp; Escalations</t>
        </is>
      </c>
      <c r="C99" t="n">
        <v>119</v>
      </c>
      <c r="D99" t="n">
        <v>96</v>
      </c>
      <c r="E99" t="n">
        <v>7.534</v>
      </c>
      <c r="F99">
        <f>IF(B98=B99, IFERROR((E99-E98)/ABS(E98), "n/a"), "")</f>
        <v/>
      </c>
    </row>
    <row r="100">
      <c r="A100" t="inlineStr">
        <is>
          <t>2026-09-15</t>
        </is>
      </c>
      <c r="B100" t="inlineStr">
        <is>
          <t>Trade Wars &amp; Escalations</t>
        </is>
      </c>
      <c r="C100" t="n">
        <v>155</v>
      </c>
      <c r="D100" t="n">
        <v>128</v>
      </c>
      <c r="E100" t="n">
        <v>7.745</v>
      </c>
      <c r="F100">
        <f>IF(B99=B100, IFERROR((E100-E99)/ABS(E99), "n/a"), "")</f>
        <v/>
      </c>
    </row>
    <row r="101">
      <c r="A101" t="inlineStr">
        <is>
          <t>2026-09-16</t>
        </is>
      </c>
      <c r="B101" t="inlineStr">
        <is>
          <t>Trade Wars &amp; Escalations</t>
        </is>
      </c>
      <c r="C101" t="n">
        <v>160</v>
      </c>
      <c r="D101" t="n">
        <v>128</v>
      </c>
      <c r="E101" t="n">
        <v>7.715</v>
      </c>
      <c r="F101">
        <f>IF(B100=B101, IFERROR((E101-E100)/ABS(E100), "n/a"), "")</f>
        <v/>
      </c>
    </row>
    <row r="102">
      <c r="A102" t="inlineStr">
        <is>
          <t>2026-09-17</t>
        </is>
      </c>
      <c r="B102" t="inlineStr">
        <is>
          <t>Trade Wars &amp; Escalations</t>
        </is>
      </c>
      <c r="C102" t="n">
        <v>160</v>
      </c>
      <c r="D102" t="n">
        <v>128</v>
      </c>
      <c r="E102" t="n">
        <v>8.067</v>
      </c>
      <c r="F102">
        <f>IF(B101=B102, IFERROR((E102-E101)/ABS(E101), "n/a"), "")</f>
        <v/>
      </c>
    </row>
    <row r="103">
      <c r="A103" t="inlineStr">
        <is>
          <t>2026-09-18</t>
        </is>
      </c>
      <c r="B103" t="inlineStr">
        <is>
          <t>Trade Wars &amp; Escalations</t>
        </is>
      </c>
      <c r="C103" t="n">
        <v>160</v>
      </c>
      <c r="D103" t="n">
        <v>128</v>
      </c>
      <c r="E103" t="n">
        <v>8.281000000000001</v>
      </c>
      <c r="F103">
        <f>IF(B102=B103, IFERROR((E103-E102)/ABS(E102), "n/a"), "")</f>
        <v/>
      </c>
    </row>
    <row r="104">
      <c r="A104" t="inlineStr">
        <is>
          <t>2026-09-19</t>
        </is>
      </c>
      <c r="B104" t="inlineStr">
        <is>
          <t>Trade Wars &amp; Escalations</t>
        </is>
      </c>
      <c r="C104" t="n">
        <v>160</v>
      </c>
      <c r="D104" t="n">
        <v>126</v>
      </c>
      <c r="E104" t="n">
        <v>7.681</v>
      </c>
      <c r="F104">
        <f>IF(B103=B104, IFERROR((E104-E103)/ABS(E103), "n/a"), "")</f>
        <v/>
      </c>
    </row>
    <row r="105">
      <c r="A105" t="inlineStr">
        <is>
          <t>2026-09-20</t>
        </is>
      </c>
      <c r="B105" t="inlineStr">
        <is>
          <t>Trade Wars &amp; Escalations</t>
        </is>
      </c>
      <c r="C105" t="n">
        <v>160</v>
      </c>
      <c r="D105" t="n">
        <v>126</v>
      </c>
      <c r="E105" t="n">
        <v>7</v>
      </c>
      <c r="F105">
        <f>IF(B104=B105, IFERROR((E105-E104)/ABS(E104), "n/a"), "")</f>
        <v/>
      </c>
    </row>
    <row r="106">
      <c r="A106" t="inlineStr">
        <is>
          <t>2026-09-21</t>
        </is>
      </c>
      <c r="B106" t="inlineStr">
        <is>
          <t>Trade Wars &amp; Escalations</t>
        </is>
      </c>
      <c r="C106" t="n">
        <v>120</v>
      </c>
      <c r="D106" t="n">
        <v>94</v>
      </c>
      <c r="E106" t="n">
        <v>7.051</v>
      </c>
      <c r="F106">
        <f>IF(B105=B106, IFERROR((E106-E105)/ABS(E105), "n/a"), "")</f>
        <v/>
      </c>
    </row>
    <row r="107">
      <c r="A107" t="inlineStr">
        <is>
          <t>2026-09-22</t>
        </is>
      </c>
      <c r="B107" t="inlineStr">
        <is>
          <t>Trade Wars &amp; Escalations</t>
        </is>
      </c>
      <c r="C107" t="n">
        <v>159</v>
      </c>
      <c r="D107" t="n">
        <v>126</v>
      </c>
      <c r="E107" t="n">
        <v>8.592000000000001</v>
      </c>
      <c r="F107">
        <f>IF(B106=B107, IFERROR((E107-E106)/ABS(E106), "n/a"), "")</f>
        <v/>
      </c>
    </row>
    <row r="108">
      <c r="A108" t="inlineStr">
        <is>
          <t>2026-09-23</t>
        </is>
      </c>
      <c r="B108" t="inlineStr">
        <is>
          <t>Trade Wars &amp; Escalations</t>
        </is>
      </c>
      <c r="C108" t="n">
        <v>158</v>
      </c>
      <c r="D108" t="n">
        <v>122</v>
      </c>
      <c r="E108" t="n">
        <v>9.541</v>
      </c>
      <c r="F108">
        <f>IF(B107=B108, IFERROR((E108-E107)/ABS(E107), "n/a"), "")</f>
        <v/>
      </c>
    </row>
    <row r="109">
      <c r="A109" t="inlineStr">
        <is>
          <t>2026-09-24</t>
        </is>
      </c>
      <c r="B109" t="inlineStr">
        <is>
          <t>Trade Wars &amp; Escalations</t>
        </is>
      </c>
      <c r="C109" t="n">
        <v>153</v>
      </c>
      <c r="D109" t="n">
        <v>125</v>
      </c>
      <c r="E109" t="n">
        <v>4.922</v>
      </c>
      <c r="F109">
        <f>IF(B108=B109, IFERROR((E109-E108)/ABS(E108), "n/a"), "")</f>
        <v/>
      </c>
    </row>
    <row r="110">
      <c r="A110" t="inlineStr">
        <is>
          <t>2026-09-25</t>
        </is>
      </c>
      <c r="B110" t="inlineStr">
        <is>
          <t>Trade Wars &amp; Escalations</t>
        </is>
      </c>
      <c r="C110" t="n">
        <v>160</v>
      </c>
      <c r="D110" t="n">
        <v>117</v>
      </c>
      <c r="E110" t="n">
        <v>8.41</v>
      </c>
      <c r="F110">
        <f>IF(B109=B110, IFERROR((E110-E109)/ABS(E109), "n/a"), "")</f>
        <v/>
      </c>
    </row>
    <row r="111">
      <c r="A111" t="inlineStr">
        <is>
          <t>2026-09-26</t>
        </is>
      </c>
      <c r="B111" t="inlineStr">
        <is>
          <t>Trade Wars &amp; Escalations</t>
        </is>
      </c>
      <c r="C111" t="n">
        <v>160</v>
      </c>
      <c r="D111" t="n">
        <v>124</v>
      </c>
      <c r="E111" t="n">
        <v>6.27</v>
      </c>
      <c r="F111">
        <f>IF(B110=B111, IFERROR((E111-E110)/ABS(E110), "n/a"), "")</f>
        <v/>
      </c>
    </row>
    <row r="112">
      <c r="A112" t="inlineStr">
        <is>
          <t>2026-09-27</t>
        </is>
      </c>
      <c r="B112" t="inlineStr">
        <is>
          <t>Trade Wars &amp; Escalations</t>
        </is>
      </c>
      <c r="C112" t="n">
        <v>159</v>
      </c>
      <c r="D112" t="n">
        <v>122</v>
      </c>
      <c r="E112" t="n">
        <v>7.708</v>
      </c>
      <c r="F112">
        <f>IF(B111=B112, IFERROR((E112-E111)/ABS(E111), "n/a"), "")</f>
        <v/>
      </c>
    </row>
    <row r="113">
      <c r="A113" t="inlineStr">
        <is>
          <t>2026-09-28</t>
        </is>
      </c>
      <c r="B113" t="inlineStr">
        <is>
          <t>Trade Wars &amp; Escalations</t>
        </is>
      </c>
      <c r="C113" t="n">
        <v>40</v>
      </c>
      <c r="D113" t="n">
        <v>31</v>
      </c>
      <c r="E113" t="n">
        <v>4.228</v>
      </c>
      <c r="F113">
        <f>IF(B112=B113, IFERROR((E113-E112)/ABS(E112), "n/a"), "")</f>
        <v/>
      </c>
    </row>
    <row r="114">
      <c r="A114" t="inlineStr">
        <is>
          <t>2026-09-29</t>
        </is>
      </c>
      <c r="B114" t="inlineStr">
        <is>
          <t>Trade Wars &amp; Escalations</t>
        </is>
      </c>
      <c r="C114" t="n">
        <v>160</v>
      </c>
      <c r="D114" t="n">
        <v>126</v>
      </c>
      <c r="E114" t="n">
        <v>6.904</v>
      </c>
      <c r="F114">
        <f>IF(B113=B114, IFERROR((E114-E113)/ABS(E113), "n/a"), "")</f>
        <v/>
      </c>
    </row>
    <row r="115">
      <c r="A115" t="inlineStr">
        <is>
          <t>2026-09-30</t>
        </is>
      </c>
      <c r="B115" t="inlineStr">
        <is>
          <t>Trade Wars &amp; Escalations</t>
        </is>
      </c>
      <c r="C115" t="n">
        <v>120</v>
      </c>
      <c r="D115" t="n">
        <v>94</v>
      </c>
      <c r="E115" t="n">
        <v>7.423</v>
      </c>
      <c r="F115">
        <f>IF(B114=B115, IFERROR((E115-E114)/ABS(E114), "n/a"), "")</f>
        <v/>
      </c>
    </row>
    <row r="116">
      <c r="A116" t="inlineStr">
        <is>
          <t>2026-10-01</t>
        </is>
      </c>
      <c r="B116" t="inlineStr">
        <is>
          <t>Trade Wars &amp; Escalations</t>
        </is>
      </c>
      <c r="C116" t="n">
        <v>120</v>
      </c>
      <c r="D116" t="n">
        <v>95</v>
      </c>
      <c r="E116" t="n">
        <v>7.816</v>
      </c>
      <c r="F116">
        <f>IF(B115=B116, IFERROR((E116-E115)/ABS(E115), "n/a"), "")</f>
        <v/>
      </c>
    </row>
    <row r="117">
      <c r="A117" t="inlineStr">
        <is>
          <t>2026-10-02</t>
        </is>
      </c>
      <c r="B117" t="inlineStr">
        <is>
          <t>Trade Wars &amp; Escalations</t>
        </is>
      </c>
      <c r="C117" t="n">
        <v>120</v>
      </c>
      <c r="D117" t="n">
        <v>95</v>
      </c>
      <c r="E117" t="n">
        <v>8.606</v>
      </c>
      <c r="F117">
        <f>IF(B116=B117, IFERROR((E117-E116)/ABS(E116), "n/a"), "")</f>
        <v/>
      </c>
    </row>
    <row r="118">
      <c r="A118" t="inlineStr">
        <is>
          <t>2026-10-03</t>
        </is>
      </c>
      <c r="B118" t="inlineStr">
        <is>
          <t>Trade Wars &amp; Escalations</t>
        </is>
      </c>
      <c r="C118" t="n">
        <v>160</v>
      </c>
      <c r="D118" t="n">
        <v>120</v>
      </c>
      <c r="E118" t="n">
        <v>8.890000000000001</v>
      </c>
      <c r="F118">
        <f>IF(B117=B118, IFERROR((E118-E117)/ABS(E117), "n/a"), "")</f>
        <v/>
      </c>
    </row>
    <row r="119">
      <c r="A119" t="inlineStr">
        <is>
          <t>2026-10-04</t>
        </is>
      </c>
      <c r="B119" t="inlineStr">
        <is>
          <t>Trade Wars &amp; Escalations</t>
        </is>
      </c>
      <c r="C119" t="n">
        <v>160</v>
      </c>
      <c r="D119" t="n">
        <v>120</v>
      </c>
      <c r="E119" t="n">
        <v>9.275</v>
      </c>
      <c r="F119">
        <f>IF(B118=B119, IFERROR((E119-E118)/ABS(E118), "n/a"), "")</f>
        <v/>
      </c>
    </row>
    <row r="120">
      <c r="A120" t="inlineStr">
        <is>
          <t>2026-10-05</t>
        </is>
      </c>
      <c r="B120" t="inlineStr">
        <is>
          <t>Trade Wars &amp; Escalations</t>
        </is>
      </c>
      <c r="C120" t="n">
        <v>80</v>
      </c>
      <c r="D120" t="n">
        <v>59</v>
      </c>
      <c r="E120" t="n">
        <v>10.021</v>
      </c>
      <c r="F120">
        <f>IF(B119=B120, IFERROR((E120-E119)/ABS(E119), "n/a"), "")</f>
        <v/>
      </c>
    </row>
    <row r="121">
      <c r="A121" t="inlineStr">
        <is>
          <t>2026-10-06</t>
        </is>
      </c>
      <c r="B121" t="inlineStr">
        <is>
          <t>Trade Wars &amp; Escalations</t>
        </is>
      </c>
      <c r="C121" t="n">
        <v>160</v>
      </c>
      <c r="D121" t="n">
        <v>118</v>
      </c>
      <c r="E121" t="n">
        <v>8.647</v>
      </c>
      <c r="F121">
        <f>IF(B120=B121, IFERROR((E121-E120)/ABS(E120), "n/a"), "")</f>
        <v/>
      </c>
    </row>
    <row r="122">
      <c r="A122" t="inlineStr">
        <is>
          <t>2026-10-07</t>
        </is>
      </c>
      <c r="B122" t="inlineStr">
        <is>
          <t>Trade Wars &amp; Escalations</t>
        </is>
      </c>
      <c r="C122" t="n">
        <v>120</v>
      </c>
      <c r="D122" t="n">
        <v>90</v>
      </c>
      <c r="E122" t="n">
        <v>8.141999999999999</v>
      </c>
      <c r="F122">
        <f>IF(B121=B122, IFERROR((E122-E121)/ABS(E121), "n/a"), "")</f>
        <v/>
      </c>
    </row>
    <row r="123">
      <c r="A123" t="inlineStr">
        <is>
          <t>2026-10-08</t>
        </is>
      </c>
      <c r="B123" t="inlineStr">
        <is>
          <t>Trade Wars &amp; Escalations</t>
        </is>
      </c>
      <c r="C123" t="n">
        <v>120</v>
      </c>
      <c r="D123" t="n">
        <v>87</v>
      </c>
      <c r="E123" t="n">
        <v>8.19</v>
      </c>
      <c r="F123">
        <f>IF(B122=B123, IFERROR((E123-E122)/ABS(E122), "n/a"), "")</f>
        <v/>
      </c>
    </row>
    <row r="124">
      <c r="A124" t="inlineStr">
        <is>
          <t>2026-10-09</t>
        </is>
      </c>
      <c r="B124" t="inlineStr">
        <is>
          <t>Trade Wars &amp; Escalations</t>
        </is>
      </c>
      <c r="C124" t="n">
        <v>120</v>
      </c>
      <c r="D124" t="n">
        <v>87</v>
      </c>
      <c r="E124" t="n">
        <v>8.778</v>
      </c>
      <c r="F124">
        <f>IF(B123=B124, IFERROR((E124-E123)/ABS(E123), "n/a"), "")</f>
        <v/>
      </c>
    </row>
    <row r="125">
      <c r="A125" t="inlineStr">
        <is>
          <t>2026-10-10</t>
        </is>
      </c>
      <c r="B125" t="inlineStr">
        <is>
          <t>Trade Wars &amp; Escalations</t>
        </is>
      </c>
      <c r="C125" t="n">
        <v>160</v>
      </c>
      <c r="D125" t="n">
        <v>116</v>
      </c>
      <c r="E125" t="n">
        <v>8.058999999999999</v>
      </c>
      <c r="F125">
        <f>IF(B124=B125, IFERROR((E125-E124)/ABS(E124), "n/a"), "")</f>
        <v/>
      </c>
    </row>
    <row r="126">
      <c r="A126" t="inlineStr">
        <is>
          <t>2026-10-11</t>
        </is>
      </c>
      <c r="B126" t="inlineStr">
        <is>
          <t>Trade Wars &amp; Escalations</t>
        </is>
      </c>
      <c r="C126" t="n">
        <v>120</v>
      </c>
      <c r="D126" t="n">
        <v>91</v>
      </c>
      <c r="E126" t="n">
        <v>8.747</v>
      </c>
      <c r="F126">
        <f>IF(B125=B126, IFERROR((E126-E125)/ABS(E125), "n/a"), "")</f>
        <v/>
      </c>
    </row>
    <row r="127">
      <c r="A127" t="inlineStr">
        <is>
          <t>2026-10-12</t>
        </is>
      </c>
      <c r="B127" t="inlineStr">
        <is>
          <t>Trade Wars &amp; Escalations</t>
        </is>
      </c>
      <c r="C127" t="n">
        <v>80</v>
      </c>
      <c r="D127" t="n">
        <v>62</v>
      </c>
      <c r="E127" t="n">
        <v>8.003</v>
      </c>
      <c r="F127">
        <f>IF(B126=B127, IFERROR((E127-E126)/ABS(E126), "n/a"), "")</f>
        <v/>
      </c>
    </row>
    <row r="128">
      <c r="A128" t="inlineStr">
        <is>
          <t>2026-10-13</t>
        </is>
      </c>
      <c r="B128" t="inlineStr">
        <is>
          <t>Trade Wars &amp; Escalations</t>
        </is>
      </c>
      <c r="C128" t="n">
        <v>160</v>
      </c>
      <c r="D128" t="n">
        <v>123</v>
      </c>
      <c r="E128" t="n">
        <v>7.382</v>
      </c>
      <c r="F128">
        <f>IF(B127=B128, IFERROR((E128-E127)/ABS(E127), "n/a"), "")</f>
        <v/>
      </c>
    </row>
    <row r="129">
      <c r="A129" t="inlineStr">
        <is>
          <t>2026-10-14</t>
        </is>
      </c>
      <c r="B129" t="inlineStr">
        <is>
          <t>Trade Wars &amp; Escalations</t>
        </is>
      </c>
      <c r="C129" t="n">
        <v>117</v>
      </c>
      <c r="D129" t="n">
        <v>92</v>
      </c>
      <c r="E129" t="n">
        <v>6.514</v>
      </c>
      <c r="F129">
        <f>IF(B128=B129, IFERROR((E129-E128)/ABS(E128), "n/a"), "")</f>
        <v/>
      </c>
    </row>
    <row r="130">
      <c r="A130" t="inlineStr">
        <is>
          <t>2026-10-15</t>
        </is>
      </c>
      <c r="B130" t="inlineStr">
        <is>
          <t>Trade Wars &amp; Escalations</t>
        </is>
      </c>
      <c r="C130" t="n">
        <v>156</v>
      </c>
      <c r="D130" t="n">
        <v>123</v>
      </c>
      <c r="E130" t="n">
        <v>6.762</v>
      </c>
      <c r="F130">
        <f>IF(B129=B130, IFERROR((E130-E129)/ABS(E129), "n/a"), "")</f>
        <v/>
      </c>
    </row>
    <row r="131">
      <c r="A131" t="inlineStr">
        <is>
          <t>2026-10-16</t>
        </is>
      </c>
      <c r="B131" t="inlineStr">
        <is>
          <t>Trade Wars &amp; Escalations</t>
        </is>
      </c>
      <c r="C131" t="n">
        <v>156</v>
      </c>
      <c r="D131" t="n">
        <v>123</v>
      </c>
      <c r="E131" t="n">
        <v>6.454</v>
      </c>
      <c r="F131">
        <f>IF(B130=B131, IFERROR((E131-E130)/ABS(E130), "n/a"), "")</f>
        <v/>
      </c>
    </row>
    <row r="132">
      <c r="A132" t="inlineStr">
        <is>
          <t>2026-10-17</t>
        </is>
      </c>
      <c r="B132" t="inlineStr">
        <is>
          <t>Trade Wars &amp; Escalations</t>
        </is>
      </c>
      <c r="C132" t="n">
        <v>156</v>
      </c>
      <c r="D132" t="n">
        <v>122</v>
      </c>
      <c r="E132" t="n">
        <v>6.044</v>
      </c>
      <c r="F132">
        <f>IF(B131=B132, IFERROR((E132-E131)/ABS(E131), "n/a"), "")</f>
        <v/>
      </c>
    </row>
    <row r="133">
      <c r="A133" t="inlineStr">
        <is>
          <t>2026-10-18</t>
        </is>
      </c>
      <c r="B133" t="inlineStr">
        <is>
          <t>Trade Wars &amp; Escalations</t>
        </is>
      </c>
      <c r="C133" t="n">
        <v>156</v>
      </c>
      <c r="D133" t="n">
        <v>119</v>
      </c>
      <c r="E133" t="n">
        <v>6.172</v>
      </c>
      <c r="F133">
        <f>IF(B132=B133, IFERROR((E133-E132)/ABS(E132), "n/a"), "")</f>
        <v/>
      </c>
    </row>
    <row r="134">
      <c r="A134" t="inlineStr">
        <is>
          <t>2026-10-19</t>
        </is>
      </c>
      <c r="B134" t="inlineStr">
        <is>
          <t>Trade Wars &amp; Escalations</t>
        </is>
      </c>
      <c r="C134" t="n">
        <v>117</v>
      </c>
      <c r="D134" t="n">
        <v>86</v>
      </c>
      <c r="E134" t="n">
        <v>7.284</v>
      </c>
      <c r="F134">
        <f>IF(B133=B134, IFERROR((E134-E133)/ABS(E133), "n/a"), "")</f>
        <v/>
      </c>
    </row>
    <row r="135">
      <c r="A135" t="inlineStr">
        <is>
          <t>2026-10-20</t>
        </is>
      </c>
      <c r="B135" t="inlineStr">
        <is>
          <t>Trade Wars &amp; Escalations</t>
        </is>
      </c>
      <c r="C135" t="n">
        <v>158</v>
      </c>
      <c r="D135" t="n">
        <v>117</v>
      </c>
      <c r="E135" t="n">
        <v>7.297</v>
      </c>
      <c r="F135">
        <f>IF(B134=B135, IFERROR((E135-E134)/ABS(E134), "n/a"), "")</f>
        <v/>
      </c>
    </row>
    <row r="136">
      <c r="A136" t="inlineStr">
        <is>
          <t>2026-10-21</t>
        </is>
      </c>
      <c r="B136" t="inlineStr">
        <is>
          <t>Trade Wars &amp; Escalations</t>
        </is>
      </c>
      <c r="C136" t="n">
        <v>159</v>
      </c>
      <c r="D136" t="n">
        <v>122</v>
      </c>
      <c r="E136" t="n">
        <v>6.6</v>
      </c>
      <c r="F136">
        <f>IF(B135=B136, IFERROR((E136-E135)/ABS(E135), "n/a"), "")</f>
        <v/>
      </c>
    </row>
    <row r="137">
      <c r="A137" t="inlineStr">
        <is>
          <t>2026-10-22</t>
        </is>
      </c>
      <c r="B137" t="inlineStr">
        <is>
          <t>Trade Wars &amp; Escalations</t>
        </is>
      </c>
      <c r="C137" t="n">
        <v>160</v>
      </c>
      <c r="D137" t="n">
        <v>124</v>
      </c>
      <c r="E137" t="n">
        <v>6.775</v>
      </c>
      <c r="F137">
        <f>IF(B136=B137, IFERROR((E137-E136)/ABS(E136), "n/a"), "")</f>
        <v/>
      </c>
    </row>
    <row r="138">
      <c r="A138" t="inlineStr">
        <is>
          <t>2026-10-23</t>
        </is>
      </c>
      <c r="B138" t="inlineStr">
        <is>
          <t>Trade Wars &amp; Escalations</t>
        </is>
      </c>
      <c r="C138" t="n">
        <v>160</v>
      </c>
      <c r="D138" t="n">
        <v>127</v>
      </c>
      <c r="E138" t="n">
        <v>6.858</v>
      </c>
      <c r="F138">
        <f>IF(B137=B138, IFERROR((E138-E137)/ABS(E137), "n/a"), "")</f>
        <v/>
      </c>
    </row>
    <row r="139">
      <c r="A139" t="inlineStr">
        <is>
          <t>2026-10-24</t>
        </is>
      </c>
      <c r="B139" t="inlineStr">
        <is>
          <t>Trade Wars &amp; Escalations</t>
        </is>
      </c>
      <c r="C139" t="n">
        <v>160</v>
      </c>
      <c r="D139" t="n">
        <v>127</v>
      </c>
      <c r="E139" t="n">
        <v>7.779</v>
      </c>
      <c r="F139">
        <f>IF(B138=B139, IFERROR((E139-E138)/ABS(E138), "n/a"), "")</f>
        <v/>
      </c>
    </row>
    <row r="140">
      <c r="A140" t="inlineStr">
        <is>
          <t>2026-10-25</t>
        </is>
      </c>
      <c r="B140" t="inlineStr">
        <is>
          <t>Trade Wars &amp; Escalations</t>
        </is>
      </c>
      <c r="C140" t="n">
        <v>160</v>
      </c>
      <c r="D140" t="n">
        <v>128</v>
      </c>
      <c r="E140" t="n">
        <v>7.257</v>
      </c>
      <c r="F140">
        <f>IF(B139=B140, IFERROR((E140-E139)/ABS(E139), "n/a"), "")</f>
        <v/>
      </c>
    </row>
    <row r="141">
      <c r="A141" t="inlineStr">
        <is>
          <t>2026-10-26</t>
        </is>
      </c>
      <c r="B141" t="inlineStr">
        <is>
          <t>Trade Wars &amp; Escalations</t>
        </is>
      </c>
      <c r="C141" t="n">
        <v>120</v>
      </c>
      <c r="D141" t="n">
        <v>96</v>
      </c>
      <c r="E141" t="n">
        <v>7.642</v>
      </c>
      <c r="F141">
        <f>IF(B140=B141, IFERROR((E141-E140)/ABS(E140), "n/a"), "")</f>
        <v/>
      </c>
    </row>
    <row r="142">
      <c r="A142" t="inlineStr">
        <is>
          <t>2026-10-27</t>
        </is>
      </c>
      <c r="B142" t="inlineStr">
        <is>
          <t>Trade Wars &amp; Escalations</t>
        </is>
      </c>
      <c r="C142" t="n">
        <v>119</v>
      </c>
      <c r="D142" t="n">
        <v>96</v>
      </c>
      <c r="E142" t="n">
        <v>8.321999999999999</v>
      </c>
      <c r="F142">
        <f>IF(B141=B142, IFERROR((E142-E141)/ABS(E141), "n/a"), "")</f>
        <v/>
      </c>
    </row>
    <row r="143">
      <c r="A143" t="inlineStr">
        <is>
          <t>2026-10-28</t>
        </is>
      </c>
      <c r="B143" t="inlineStr">
        <is>
          <t>Trade Wars &amp; Escalations</t>
        </is>
      </c>
      <c r="C143" t="n">
        <v>119</v>
      </c>
      <c r="D143" t="n">
        <v>96</v>
      </c>
      <c r="E143" t="n">
        <v>6.716</v>
      </c>
      <c r="F143">
        <f>IF(B142=B143, IFERROR((E143-E142)/ABS(E142), "n/a"), "")</f>
        <v/>
      </c>
    </row>
    <row r="144">
      <c r="A144" t="inlineStr">
        <is>
          <t>2026-10-29</t>
        </is>
      </c>
      <c r="B144" t="inlineStr">
        <is>
          <t>Trade Wars &amp; Escalations</t>
        </is>
      </c>
      <c r="C144" t="n">
        <v>120</v>
      </c>
      <c r="D144" t="n">
        <v>96</v>
      </c>
      <c r="E144" t="n">
        <v>6.678</v>
      </c>
      <c r="F144">
        <f>IF(B143=B144, IFERROR((E144-E143)/ABS(E143), "n/a"), "")</f>
        <v/>
      </c>
    </row>
    <row r="145">
      <c r="A145" t="inlineStr">
        <is>
          <t>2026-10-30</t>
        </is>
      </c>
      <c r="B145" t="inlineStr">
        <is>
          <t>Trade Wars &amp; Escalations</t>
        </is>
      </c>
      <c r="C145" t="n">
        <v>119</v>
      </c>
      <c r="D145" t="n">
        <v>96</v>
      </c>
      <c r="E145" t="n">
        <v>6.101</v>
      </c>
      <c r="F145">
        <f>IF(B144=B145, IFERROR((E145-E144)/ABS(E144),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2026-10-31T19:54:59Z</dcterms:modified>
</cp:coreProperties>
</file>